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DcfTxEHfnGTBRUp2/ICu81sDTz0SpjiqGv0a1+0DM4="/>
    </ext>
  </extLst>
</workbook>
</file>

<file path=xl/sharedStrings.xml><?xml version="1.0" encoding="utf-8"?>
<sst xmlns="http://schemas.openxmlformats.org/spreadsheetml/2006/main" count="105" uniqueCount="77">
  <si>
    <t>Term/Kata</t>
  </si>
  <si>
    <t>TF</t>
  </si>
  <si>
    <t>TF Normalisasi</t>
  </si>
  <si>
    <t>DF</t>
  </si>
  <si>
    <t>IDF</t>
  </si>
  <si>
    <t>TF.IDF</t>
  </si>
  <si>
    <t>TF.IDF Norm L2</t>
  </si>
  <si>
    <t>Dot Product</t>
  </si>
  <si>
    <t>Cosine Similarity</t>
  </si>
  <si>
    <t>Rangking</t>
  </si>
  <si>
    <t>d1</t>
  </si>
  <si>
    <t>d2</t>
  </si>
  <si>
    <t>d3</t>
  </si>
  <si>
    <t>d4</t>
  </si>
  <si>
    <t>d5</t>
  </si>
  <si>
    <t>d6</t>
  </si>
  <si>
    <t>q</t>
  </si>
  <si>
    <t>q.d1</t>
  </si>
  <si>
    <t>q.d2</t>
  </si>
  <si>
    <t>q.d3</t>
  </si>
  <si>
    <t>q.d4</t>
  </si>
  <si>
    <t>q.d5</t>
  </si>
  <si>
    <t>q.d6</t>
  </si>
  <si>
    <t>ajar</t>
  </si>
  <si>
    <t>akrab</t>
  </si>
  <si>
    <t>asal</t>
  </si>
  <si>
    <t>aula</t>
  </si>
  <si>
    <t>baca</t>
  </si>
  <si>
    <t>bagaimana</t>
  </si>
  <si>
    <t>banyak</t>
  </si>
  <si>
    <t>besar</t>
  </si>
  <si>
    <t>bintang</t>
  </si>
  <si>
    <t>buku</t>
  </si>
  <si>
    <t>canang</t>
  </si>
  <si>
    <t>cukup</t>
  </si>
  <si>
    <t>dapat</t>
  </si>
  <si>
    <t>dosen</t>
  </si>
  <si>
    <t>dunia</t>
  </si>
  <si>
    <t>harap</t>
  </si>
  <si>
    <t>ilmu</t>
  </si>
  <si>
    <t>informasi</t>
  </si>
  <si>
    <t>kampus</t>
  </si>
  <si>
    <t>kenal</t>
  </si>
  <si>
    <t>koding</t>
  </si>
  <si>
    <t>koordinasi</t>
  </si>
  <si>
    <t>kota</t>
  </si>
  <si>
    <t>kuliah</t>
  </si>
  <si>
    <t>laksana</t>
  </si>
  <si>
    <t>lurah</t>
  </si>
  <si>
    <t>mahasiswa</t>
  </si>
  <si>
    <t>makassar</t>
  </si>
  <si>
    <t>mata</t>
  </si>
  <si>
    <t>muhammad</t>
  </si>
  <si>
    <t>nama</t>
  </si>
  <si>
    <t>orang</t>
  </si>
  <si>
    <t>pasnur</t>
  </si>
  <si>
    <t>ramli</t>
  </si>
  <si>
    <t>rapat</t>
  </si>
  <si>
    <t>rasa</t>
  </si>
  <si>
    <t>rupa</t>
  </si>
  <si>
    <t>salah</t>
  </si>
  <si>
    <t>saya</t>
  </si>
  <si>
    <t>sedang</t>
  </si>
  <si>
    <t>sekali</t>
  </si>
  <si>
    <t>selatan</t>
  </si>
  <si>
    <t>sini</t>
  </si>
  <si>
    <t>sistem</t>
  </si>
  <si>
    <t>stki</t>
  </si>
  <si>
    <t>sudiang</t>
  </si>
  <si>
    <t>suka</t>
  </si>
  <si>
    <t>sulawesi</t>
  </si>
  <si>
    <t>tarik</t>
  </si>
  <si>
    <t>temu</t>
  </si>
  <si>
    <t>unitama</t>
  </si>
  <si>
    <t>Total Kata</t>
  </si>
  <si>
    <t>Panjang Vektor</t>
  </si>
  <si>
    <t>Sum of Dot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</si>
</sst>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8">
    <font>
      <sz val="11.0"/>
      <color theme="1"/>
      <name val="Aptos Narrow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sz val="10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9F2D0"/>
        <bgColor rgb="FFD9F2D0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2" fillId="4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9" fillId="0" fontId="2" numFmtId="0" xfId="0" applyBorder="1" applyFont="1"/>
    <xf borderId="8" fillId="5" fontId="1" numFmtId="0" xfId="0" applyAlignment="1" applyBorder="1" applyFill="1" applyFont="1">
      <alignment horizontal="center" vertical="center"/>
    </xf>
    <xf borderId="8" fillId="6" fontId="1" numFmtId="0" xfId="0" applyAlignment="1" applyBorder="1" applyFill="1" applyFont="1">
      <alignment horizontal="center" vertical="center"/>
    </xf>
    <xf borderId="10" fillId="5" fontId="1" numFmtId="0" xfId="0" applyAlignment="1" applyBorder="1" applyFont="1">
      <alignment horizontal="center" vertical="center"/>
    </xf>
    <xf borderId="8" fillId="7" fontId="1" numFmtId="0" xfId="0" applyBorder="1" applyFill="1" applyFont="1"/>
    <xf borderId="8" fillId="0" fontId="3" numFmtId="164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/>
    </xf>
    <xf borderId="11" fillId="0" fontId="4" numFmtId="0" xfId="0" applyAlignment="1" applyBorder="1" applyFont="1">
      <alignment shrinkToFit="0" wrapText="1"/>
    </xf>
    <xf borderId="11" fillId="0" fontId="4" numFmtId="0" xfId="0" applyAlignment="1" applyBorder="1" applyFont="1">
      <alignment horizontal="right" shrinkToFit="0" wrapText="1"/>
    </xf>
    <xf borderId="8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8" fillId="7" fontId="6" numFmtId="0" xfId="0" applyBorder="1" applyFont="1"/>
    <xf borderId="8" fillId="0" fontId="5" numFmtId="16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shrinkToFit="0" wrapText="1"/>
    </xf>
    <xf borderId="12" fillId="0" fontId="4" numFmtId="0" xfId="0" applyAlignment="1" applyBorder="1" applyFont="1">
      <alignment horizontal="right" shrinkToFit="0" wrapText="1"/>
    </xf>
    <xf borderId="13" fillId="7" fontId="6" numFmtId="0" xfId="0" applyBorder="1" applyFont="1"/>
    <xf borderId="1" fillId="0" fontId="5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8" fillId="8" fontId="6" numFmtId="0" xfId="0" applyBorder="1" applyFill="1" applyFont="1"/>
    <xf borderId="8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4" numFmtId="0" xfId="0" applyAlignment="1" applyBorder="1" applyFont="1">
      <alignment shrinkToFit="0" wrapText="1"/>
    </xf>
    <xf borderId="16" fillId="9" fontId="6" numFmtId="0" xfId="0" applyAlignment="1" applyBorder="1" applyFill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6" fillId="10" fontId="6" numFmtId="0" xfId="0" applyAlignment="1" applyBorder="1" applyFill="1" applyFont="1">
      <alignment horizontal="center"/>
    </xf>
    <xf borderId="19" fillId="9" fontId="6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8" fillId="11" fontId="5" numFmtId="0" xfId="0" applyAlignment="1" applyBorder="1" applyFill="1" applyFont="1">
      <alignment horizontal="center"/>
    </xf>
    <xf borderId="8" fillId="12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0"/>
    <col customWidth="1" min="3" max="32" width="8.63"/>
    <col customWidth="1" min="33" max="33" width="13.0"/>
    <col customWidth="1" min="34" max="34" width="12.25"/>
    <col customWidth="1" min="35" max="38" width="8.63"/>
    <col customWidth="1" min="39" max="39" width="7.25"/>
    <col customWidth="1" min="40" max="40" width="8.63"/>
    <col customWidth="1" min="41" max="41" width="23.5"/>
    <col customWidth="1" min="42" max="42" width="8.63"/>
  </cols>
  <sheetData>
    <row r="1" ht="14.25" customHeight="1"/>
    <row r="2" ht="14.25" customHeight="1">
      <c r="B2" s="1" t="s">
        <v>0</v>
      </c>
      <c r="C2" s="2" t="s">
        <v>1</v>
      </c>
      <c r="D2" s="3"/>
      <c r="E2" s="3"/>
      <c r="F2" s="3"/>
      <c r="G2" s="3"/>
      <c r="H2" s="3"/>
      <c r="I2" s="4"/>
      <c r="J2" s="2" t="s">
        <v>2</v>
      </c>
      <c r="K2" s="3"/>
      <c r="L2" s="3"/>
      <c r="M2" s="3"/>
      <c r="N2" s="3"/>
      <c r="O2" s="3"/>
      <c r="P2" s="4"/>
      <c r="Q2" s="1" t="s">
        <v>3</v>
      </c>
      <c r="R2" s="1" t="s">
        <v>4</v>
      </c>
      <c r="S2" s="2" t="s">
        <v>5</v>
      </c>
      <c r="T2" s="3"/>
      <c r="U2" s="3"/>
      <c r="V2" s="3"/>
      <c r="W2" s="3"/>
      <c r="X2" s="3"/>
      <c r="Y2" s="4"/>
      <c r="Z2" s="5" t="s">
        <v>6</v>
      </c>
      <c r="AA2" s="3"/>
      <c r="AB2" s="3"/>
      <c r="AC2" s="3"/>
      <c r="AD2" s="3"/>
      <c r="AE2" s="3"/>
      <c r="AF2" s="4"/>
      <c r="AG2" s="6" t="s">
        <v>7</v>
      </c>
      <c r="AH2" s="7"/>
      <c r="AI2" s="7"/>
      <c r="AJ2" s="7"/>
      <c r="AK2" s="7"/>
      <c r="AL2" s="8"/>
      <c r="AN2" s="9" t="s">
        <v>8</v>
      </c>
      <c r="AO2" s="4"/>
      <c r="AP2" s="10" t="s">
        <v>9</v>
      </c>
    </row>
    <row r="3" ht="14.25" customHeight="1">
      <c r="B3" s="11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1"/>
      <c r="R3" s="11"/>
      <c r="S3" s="12" t="s">
        <v>10</v>
      </c>
      <c r="T3" s="12" t="s">
        <v>11</v>
      </c>
      <c r="U3" s="12" t="s">
        <v>12</v>
      </c>
      <c r="V3" s="12" t="s">
        <v>13</v>
      </c>
      <c r="W3" s="12" t="s">
        <v>14</v>
      </c>
      <c r="X3" s="12" t="s">
        <v>15</v>
      </c>
      <c r="Y3" s="12" t="s">
        <v>16</v>
      </c>
      <c r="Z3" s="13" t="s">
        <v>10</v>
      </c>
      <c r="AA3" s="13" t="s">
        <v>11</v>
      </c>
      <c r="AB3" s="13" t="s">
        <v>12</v>
      </c>
      <c r="AC3" s="13" t="s">
        <v>13</v>
      </c>
      <c r="AD3" s="13" t="s">
        <v>14</v>
      </c>
      <c r="AE3" s="13" t="s">
        <v>15</v>
      </c>
      <c r="AF3" s="13" t="s">
        <v>16</v>
      </c>
      <c r="AG3" s="12" t="s">
        <v>17</v>
      </c>
      <c r="AH3" s="12" t="s">
        <v>18</v>
      </c>
      <c r="AI3" s="14" t="s">
        <v>19</v>
      </c>
      <c r="AJ3" s="12" t="s">
        <v>20</v>
      </c>
      <c r="AK3" s="12" t="s">
        <v>21</v>
      </c>
      <c r="AL3" s="12" t="s">
        <v>22</v>
      </c>
      <c r="AN3" s="15" t="s">
        <v>17</v>
      </c>
      <c r="AO3" s="16">
        <f>AG56</f>
        <v>0.5504561942</v>
      </c>
      <c r="AP3" s="17">
        <f t="shared" ref="AP3:AP4" si="5">RANK(AO3,$AO$3:$AO$5)</f>
        <v>1</v>
      </c>
    </row>
    <row r="4" ht="14.25" customHeight="1">
      <c r="B4" s="18" t="s">
        <v>23</v>
      </c>
      <c r="C4" s="19">
        <v>0.0</v>
      </c>
      <c r="D4" s="19">
        <v>0.0</v>
      </c>
      <c r="E4" s="19">
        <v>0.0</v>
      </c>
      <c r="F4" s="19">
        <v>0.0</v>
      </c>
      <c r="G4" s="19">
        <v>1.0</v>
      </c>
      <c r="H4" s="19">
        <v>1.0</v>
      </c>
      <c r="I4" s="19">
        <v>0.0</v>
      </c>
      <c r="J4" s="20">
        <f t="shared" ref="J4:P4" si="1">C4/C$56</f>
        <v>0</v>
      </c>
      <c r="K4" s="20">
        <f t="shared" si="1"/>
        <v>0</v>
      </c>
      <c r="L4" s="20">
        <f t="shared" si="1"/>
        <v>0</v>
      </c>
      <c r="M4" s="20">
        <f t="shared" si="1"/>
        <v>0</v>
      </c>
      <c r="N4" s="20">
        <f t="shared" si="1"/>
        <v>0.06666666667</v>
      </c>
      <c r="O4" s="20">
        <f t="shared" si="1"/>
        <v>0.04761904762</v>
      </c>
      <c r="P4" s="20">
        <f t="shared" si="1"/>
        <v>0</v>
      </c>
      <c r="Q4" s="20">
        <f t="shared" ref="Q4:Q54" si="7">COUNTIF(C4:I4,"&gt;0")</f>
        <v>2</v>
      </c>
      <c r="R4" s="20">
        <f t="shared" ref="R4:R54" si="8">LN(8/(1+Q4))+1</f>
        <v>1.980829253</v>
      </c>
      <c r="S4" s="20">
        <f t="shared" ref="S4:Y4" si="2">J4*$R4</f>
        <v>0</v>
      </c>
      <c r="T4" s="20">
        <f t="shared" si="2"/>
        <v>0</v>
      </c>
      <c r="U4" s="20">
        <f t="shared" si="2"/>
        <v>0</v>
      </c>
      <c r="V4" s="20">
        <f t="shared" si="2"/>
        <v>0</v>
      </c>
      <c r="W4" s="20">
        <f t="shared" si="2"/>
        <v>0.1320552835</v>
      </c>
      <c r="X4" s="20">
        <f t="shared" si="2"/>
        <v>0.09432520252</v>
      </c>
      <c r="Y4" s="20">
        <f t="shared" si="2"/>
        <v>0</v>
      </c>
      <c r="Z4" s="20">
        <f t="shared" ref="Z4:AF4" si="3">S4*S$56</f>
        <v>0</v>
      </c>
      <c r="AA4" s="20">
        <f t="shared" si="3"/>
        <v>0</v>
      </c>
      <c r="AB4" s="20">
        <f t="shared" si="3"/>
        <v>0</v>
      </c>
      <c r="AC4" s="20">
        <f t="shared" si="3"/>
        <v>0</v>
      </c>
      <c r="AD4" s="20">
        <f t="shared" si="3"/>
        <v>0.07703620919</v>
      </c>
      <c r="AE4" s="20">
        <f t="shared" si="3"/>
        <v>0.05504959135</v>
      </c>
      <c r="AF4" s="20">
        <f t="shared" si="3"/>
        <v>0</v>
      </c>
      <c r="AG4" s="20">
        <f t="shared" ref="AG4:AL4" si="4">Z4*$AF4</f>
        <v>0</v>
      </c>
      <c r="AH4" s="20">
        <f t="shared" si="4"/>
        <v>0</v>
      </c>
      <c r="AI4" s="21">
        <f t="shared" si="4"/>
        <v>0</v>
      </c>
      <c r="AJ4" s="21">
        <f t="shared" si="4"/>
        <v>0</v>
      </c>
      <c r="AK4" s="21">
        <f t="shared" si="4"/>
        <v>0</v>
      </c>
      <c r="AL4" s="21">
        <f t="shared" si="4"/>
        <v>0</v>
      </c>
      <c r="AN4" s="22" t="s">
        <v>18</v>
      </c>
      <c r="AO4" s="23">
        <f>AH56</f>
        <v>0.4621193378</v>
      </c>
      <c r="AP4" s="17">
        <f t="shared" si="5"/>
        <v>2</v>
      </c>
    </row>
    <row r="5" ht="14.25" customHeight="1">
      <c r="B5" s="24" t="s">
        <v>24</v>
      </c>
      <c r="C5" s="25">
        <v>0.0</v>
      </c>
      <c r="D5" s="25">
        <v>0.0</v>
      </c>
      <c r="E5" s="25">
        <v>1.0</v>
      </c>
      <c r="F5" s="25">
        <v>0.0</v>
      </c>
      <c r="G5" s="25">
        <v>0.0</v>
      </c>
      <c r="H5" s="25">
        <v>0.0</v>
      </c>
      <c r="I5" s="25">
        <v>0.0</v>
      </c>
      <c r="J5" s="20">
        <f t="shared" ref="J5:P5" si="6">C5/C$56</f>
        <v>0</v>
      </c>
      <c r="K5" s="20">
        <f t="shared" si="6"/>
        <v>0</v>
      </c>
      <c r="L5" s="20">
        <f t="shared" si="6"/>
        <v>0.125</v>
      </c>
      <c r="M5" s="20">
        <f t="shared" si="6"/>
        <v>0</v>
      </c>
      <c r="N5" s="20">
        <f t="shared" si="6"/>
        <v>0</v>
      </c>
      <c r="O5" s="20">
        <f t="shared" si="6"/>
        <v>0</v>
      </c>
      <c r="P5" s="20">
        <f t="shared" si="6"/>
        <v>0</v>
      </c>
      <c r="Q5" s="20">
        <f t="shared" si="7"/>
        <v>1</v>
      </c>
      <c r="R5" s="20">
        <f t="shared" si="8"/>
        <v>2.386294361</v>
      </c>
      <c r="S5" s="20">
        <f t="shared" ref="S5:Y5" si="9">J5*$R5</f>
        <v>0</v>
      </c>
      <c r="T5" s="20">
        <f t="shared" si="9"/>
        <v>0</v>
      </c>
      <c r="U5" s="20">
        <f t="shared" si="9"/>
        <v>0.2982867951</v>
      </c>
      <c r="V5" s="20">
        <f t="shared" si="9"/>
        <v>0</v>
      </c>
      <c r="W5" s="20">
        <f t="shared" si="9"/>
        <v>0</v>
      </c>
      <c r="X5" s="20">
        <f t="shared" si="9"/>
        <v>0</v>
      </c>
      <c r="Y5" s="20">
        <f t="shared" si="9"/>
        <v>0</v>
      </c>
      <c r="Z5" s="20">
        <f t="shared" ref="Z5:AF5" si="10">S5/S$56</f>
        <v>0</v>
      </c>
      <c r="AA5" s="20">
        <f t="shared" si="10"/>
        <v>0</v>
      </c>
      <c r="AB5" s="20">
        <f t="shared" si="10"/>
        <v>0.3450156896</v>
      </c>
      <c r="AC5" s="20">
        <f t="shared" si="10"/>
        <v>0</v>
      </c>
      <c r="AD5" s="20">
        <f t="shared" si="10"/>
        <v>0</v>
      </c>
      <c r="AE5" s="20">
        <f t="shared" si="10"/>
        <v>0</v>
      </c>
      <c r="AF5" s="20">
        <f t="shared" si="10"/>
        <v>0</v>
      </c>
      <c r="AG5" s="20">
        <f t="shared" ref="AG5:AL5" si="11">Z5*$AF5</f>
        <v>0</v>
      </c>
      <c r="AH5" s="20">
        <f t="shared" si="11"/>
        <v>0</v>
      </c>
      <c r="AI5" s="21">
        <f t="shared" si="11"/>
        <v>0</v>
      </c>
      <c r="AJ5" s="21">
        <f t="shared" si="11"/>
        <v>0</v>
      </c>
      <c r="AK5" s="21">
        <f t="shared" si="11"/>
        <v>0</v>
      </c>
      <c r="AL5" s="21">
        <f t="shared" si="11"/>
        <v>0</v>
      </c>
      <c r="AN5" s="26" t="s">
        <v>19</v>
      </c>
      <c r="AO5" s="27">
        <f>AI56</f>
        <v>0.3681237728</v>
      </c>
      <c r="AP5" s="28">
        <f t="shared" ref="AP5:AP8" si="16">RANK(AO5,$AO$3:$AO$8)</f>
        <v>3</v>
      </c>
    </row>
    <row r="6" ht="14.25" customHeight="1">
      <c r="B6" s="24" t="s">
        <v>25</v>
      </c>
      <c r="C6" s="25">
        <v>0.0</v>
      </c>
      <c r="D6" s="25">
        <v>0.0</v>
      </c>
      <c r="E6" s="25">
        <v>0.0</v>
      </c>
      <c r="F6" s="25">
        <v>0.0</v>
      </c>
      <c r="G6" s="25">
        <v>1.0</v>
      </c>
      <c r="H6" s="25">
        <v>0.0</v>
      </c>
      <c r="I6" s="25">
        <v>0.0</v>
      </c>
      <c r="J6" s="20">
        <f t="shared" ref="J6:P6" si="12">C6/C$56</f>
        <v>0</v>
      </c>
      <c r="K6" s="20">
        <f t="shared" si="12"/>
        <v>0</v>
      </c>
      <c r="L6" s="20">
        <f t="shared" si="12"/>
        <v>0</v>
      </c>
      <c r="M6" s="20">
        <f t="shared" si="12"/>
        <v>0</v>
      </c>
      <c r="N6" s="20">
        <f t="shared" si="12"/>
        <v>0.06666666667</v>
      </c>
      <c r="O6" s="20">
        <f t="shared" si="12"/>
        <v>0</v>
      </c>
      <c r="P6" s="20">
        <f t="shared" si="12"/>
        <v>0</v>
      </c>
      <c r="Q6" s="20">
        <f t="shared" si="7"/>
        <v>1</v>
      </c>
      <c r="R6" s="20">
        <f t="shared" si="8"/>
        <v>2.386294361</v>
      </c>
      <c r="S6" s="20">
        <f t="shared" ref="S6:Y6" si="13">J6*$R6</f>
        <v>0</v>
      </c>
      <c r="T6" s="20">
        <f t="shared" si="13"/>
        <v>0</v>
      </c>
      <c r="U6" s="20">
        <f t="shared" si="13"/>
        <v>0</v>
      </c>
      <c r="V6" s="20">
        <f t="shared" si="13"/>
        <v>0</v>
      </c>
      <c r="W6" s="20">
        <f t="shared" si="13"/>
        <v>0.1590862907</v>
      </c>
      <c r="X6" s="20">
        <f t="shared" si="13"/>
        <v>0</v>
      </c>
      <c r="Y6" s="20">
        <f t="shared" si="13"/>
        <v>0</v>
      </c>
      <c r="Z6" s="20">
        <f t="shared" ref="Z6:AF6" si="14">S6/S$56</f>
        <v>0</v>
      </c>
      <c r="AA6" s="20">
        <f t="shared" si="14"/>
        <v>0</v>
      </c>
      <c r="AB6" s="20">
        <f t="shared" si="14"/>
        <v>0</v>
      </c>
      <c r="AC6" s="20">
        <f t="shared" si="14"/>
        <v>0</v>
      </c>
      <c r="AD6" s="20">
        <f t="shared" si="14"/>
        <v>0.272705335</v>
      </c>
      <c r="AE6" s="20">
        <f t="shared" si="14"/>
        <v>0</v>
      </c>
      <c r="AF6" s="20">
        <f t="shared" si="14"/>
        <v>0</v>
      </c>
      <c r="AG6" s="20">
        <f t="shared" ref="AG6:AL6" si="15">Z6*$AF6</f>
        <v>0</v>
      </c>
      <c r="AH6" s="20">
        <f t="shared" si="15"/>
        <v>0</v>
      </c>
      <c r="AI6" s="21">
        <f t="shared" si="15"/>
        <v>0</v>
      </c>
      <c r="AJ6" s="21">
        <f t="shared" si="15"/>
        <v>0</v>
      </c>
      <c r="AK6" s="21">
        <f t="shared" si="15"/>
        <v>0</v>
      </c>
      <c r="AL6" s="21">
        <f t="shared" si="15"/>
        <v>0</v>
      </c>
      <c r="AN6" s="29" t="s">
        <v>20</v>
      </c>
      <c r="AO6" s="30">
        <f>AJ56</f>
        <v>0.1015343877</v>
      </c>
      <c r="AP6" s="28">
        <f t="shared" si="16"/>
        <v>4</v>
      </c>
    </row>
    <row r="7" ht="14.25" customHeight="1">
      <c r="B7" s="24" t="s">
        <v>26</v>
      </c>
      <c r="C7" s="25">
        <v>1.0</v>
      </c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0">
        <f t="shared" ref="J7:P7" si="17">C7/C$56</f>
        <v>0.09090909091</v>
      </c>
      <c r="K7" s="20">
        <f t="shared" si="17"/>
        <v>0</v>
      </c>
      <c r="L7" s="20">
        <f t="shared" si="17"/>
        <v>0</v>
      </c>
      <c r="M7" s="20">
        <f t="shared" si="17"/>
        <v>0</v>
      </c>
      <c r="N7" s="20">
        <f t="shared" si="17"/>
        <v>0</v>
      </c>
      <c r="O7" s="20">
        <f t="shared" si="17"/>
        <v>0</v>
      </c>
      <c r="P7" s="20">
        <f t="shared" si="17"/>
        <v>0</v>
      </c>
      <c r="Q7" s="20">
        <f t="shared" si="7"/>
        <v>1</v>
      </c>
      <c r="R7" s="20">
        <f t="shared" si="8"/>
        <v>2.386294361</v>
      </c>
      <c r="S7" s="20">
        <f t="shared" ref="S7:Y7" si="18">J7*$R7</f>
        <v>0.216935851</v>
      </c>
      <c r="T7" s="20">
        <f t="shared" si="18"/>
        <v>0</v>
      </c>
      <c r="U7" s="20">
        <f t="shared" si="18"/>
        <v>0</v>
      </c>
      <c r="V7" s="20">
        <f t="shared" si="18"/>
        <v>0</v>
      </c>
      <c r="W7" s="20">
        <f t="shared" si="18"/>
        <v>0</v>
      </c>
      <c r="X7" s="20">
        <f t="shared" si="18"/>
        <v>0</v>
      </c>
      <c r="Y7" s="20">
        <f t="shared" si="18"/>
        <v>0</v>
      </c>
      <c r="Z7" s="20">
        <f t="shared" ref="Z7:AF7" si="19">S7/S$56</f>
        <v>0.3095415794</v>
      </c>
      <c r="AA7" s="20">
        <f t="shared" si="19"/>
        <v>0</v>
      </c>
      <c r="AB7" s="20">
        <f t="shared" si="19"/>
        <v>0</v>
      </c>
      <c r="AC7" s="20">
        <f t="shared" si="19"/>
        <v>0</v>
      </c>
      <c r="AD7" s="20">
        <f t="shared" si="19"/>
        <v>0</v>
      </c>
      <c r="AE7" s="20">
        <f t="shared" si="19"/>
        <v>0</v>
      </c>
      <c r="AF7" s="20">
        <f t="shared" si="19"/>
        <v>0</v>
      </c>
      <c r="AG7" s="20">
        <f t="shared" ref="AG7:AL7" si="20">Z7*$AF7</f>
        <v>0</v>
      </c>
      <c r="AH7" s="20">
        <f t="shared" si="20"/>
        <v>0</v>
      </c>
      <c r="AI7" s="21">
        <f t="shared" si="20"/>
        <v>0</v>
      </c>
      <c r="AJ7" s="21">
        <f t="shared" si="20"/>
        <v>0</v>
      </c>
      <c r="AK7" s="21">
        <f t="shared" si="20"/>
        <v>0</v>
      </c>
      <c r="AL7" s="21">
        <f t="shared" si="20"/>
        <v>0</v>
      </c>
      <c r="AN7" s="29" t="s">
        <v>21</v>
      </c>
      <c r="AO7" s="30">
        <f>AK56</f>
        <v>0.09699009814</v>
      </c>
      <c r="AP7" s="28">
        <f t="shared" si="16"/>
        <v>5</v>
      </c>
    </row>
    <row r="8" ht="14.25" customHeight="1">
      <c r="B8" s="24" t="s">
        <v>27</v>
      </c>
      <c r="C8" s="25">
        <v>0.0</v>
      </c>
      <c r="D8" s="25">
        <v>0.0</v>
      </c>
      <c r="E8" s="25">
        <v>0.0</v>
      </c>
      <c r="F8" s="25">
        <v>0.0</v>
      </c>
      <c r="G8" s="25">
        <v>1.0</v>
      </c>
      <c r="H8" s="25">
        <v>0.0</v>
      </c>
      <c r="I8" s="25">
        <v>0.0</v>
      </c>
      <c r="J8" s="20">
        <f t="shared" ref="J8:P8" si="21">C8/C$56</f>
        <v>0</v>
      </c>
      <c r="K8" s="20">
        <f t="shared" si="21"/>
        <v>0</v>
      </c>
      <c r="L8" s="20">
        <f t="shared" si="21"/>
        <v>0</v>
      </c>
      <c r="M8" s="20">
        <f t="shared" si="21"/>
        <v>0</v>
      </c>
      <c r="N8" s="20">
        <f t="shared" si="21"/>
        <v>0.06666666667</v>
      </c>
      <c r="O8" s="20">
        <f t="shared" si="21"/>
        <v>0</v>
      </c>
      <c r="P8" s="20">
        <f t="shared" si="21"/>
        <v>0</v>
      </c>
      <c r="Q8" s="20">
        <f t="shared" si="7"/>
        <v>1</v>
      </c>
      <c r="R8" s="20">
        <f t="shared" si="8"/>
        <v>2.386294361</v>
      </c>
      <c r="S8" s="20">
        <f t="shared" ref="S8:Y8" si="22">J8*$R8</f>
        <v>0</v>
      </c>
      <c r="T8" s="20">
        <f t="shared" si="22"/>
        <v>0</v>
      </c>
      <c r="U8" s="20">
        <f t="shared" si="22"/>
        <v>0</v>
      </c>
      <c r="V8" s="20">
        <f t="shared" si="22"/>
        <v>0</v>
      </c>
      <c r="W8" s="20">
        <f t="shared" si="22"/>
        <v>0.1590862907</v>
      </c>
      <c r="X8" s="20">
        <f t="shared" si="22"/>
        <v>0</v>
      </c>
      <c r="Y8" s="20">
        <f t="shared" si="22"/>
        <v>0</v>
      </c>
      <c r="Z8" s="20">
        <f t="shared" ref="Z8:AF8" si="23">S8/S$56</f>
        <v>0</v>
      </c>
      <c r="AA8" s="20">
        <f t="shared" si="23"/>
        <v>0</v>
      </c>
      <c r="AB8" s="20">
        <f t="shared" si="23"/>
        <v>0</v>
      </c>
      <c r="AC8" s="20">
        <f t="shared" si="23"/>
        <v>0</v>
      </c>
      <c r="AD8" s="20">
        <f t="shared" si="23"/>
        <v>0.272705335</v>
      </c>
      <c r="AE8" s="20">
        <f t="shared" si="23"/>
        <v>0</v>
      </c>
      <c r="AF8" s="20">
        <f t="shared" si="23"/>
        <v>0</v>
      </c>
      <c r="AG8" s="20">
        <f t="shared" ref="AG8:AL8" si="24">Z8*$AF8</f>
        <v>0</v>
      </c>
      <c r="AH8" s="20">
        <f t="shared" si="24"/>
        <v>0</v>
      </c>
      <c r="AI8" s="21">
        <f t="shared" si="24"/>
        <v>0</v>
      </c>
      <c r="AJ8" s="21">
        <f t="shared" si="24"/>
        <v>0</v>
      </c>
      <c r="AK8" s="21">
        <f t="shared" si="24"/>
        <v>0</v>
      </c>
      <c r="AL8" s="21">
        <f t="shared" si="24"/>
        <v>0</v>
      </c>
      <c r="AN8" s="29" t="s">
        <v>22</v>
      </c>
      <c r="AO8" s="30">
        <f>AL56</f>
        <v>0</v>
      </c>
      <c r="AP8" s="28">
        <f t="shared" si="16"/>
        <v>6</v>
      </c>
    </row>
    <row r="9" ht="14.25" customHeight="1">
      <c r="B9" s="24" t="s">
        <v>28</v>
      </c>
      <c r="C9" s="25">
        <v>0.0</v>
      </c>
      <c r="D9" s="25">
        <v>0.0</v>
      </c>
      <c r="E9" s="25">
        <v>1.0</v>
      </c>
      <c r="F9" s="25">
        <v>0.0</v>
      </c>
      <c r="G9" s="25">
        <v>0.0</v>
      </c>
      <c r="H9" s="25">
        <v>0.0</v>
      </c>
      <c r="I9" s="25">
        <v>0.0</v>
      </c>
      <c r="J9" s="20">
        <f t="shared" ref="J9:P9" si="25">C9/C$56</f>
        <v>0</v>
      </c>
      <c r="K9" s="20">
        <f t="shared" si="25"/>
        <v>0</v>
      </c>
      <c r="L9" s="20">
        <f t="shared" si="25"/>
        <v>0.125</v>
      </c>
      <c r="M9" s="20">
        <f t="shared" si="25"/>
        <v>0</v>
      </c>
      <c r="N9" s="20">
        <f t="shared" si="25"/>
        <v>0</v>
      </c>
      <c r="O9" s="20">
        <f t="shared" si="25"/>
        <v>0</v>
      </c>
      <c r="P9" s="20">
        <f t="shared" si="25"/>
        <v>0</v>
      </c>
      <c r="Q9" s="20">
        <f t="shared" si="7"/>
        <v>1</v>
      </c>
      <c r="R9" s="20">
        <f t="shared" si="8"/>
        <v>2.386294361</v>
      </c>
      <c r="S9" s="20">
        <f t="shared" ref="S9:Y9" si="26">J9*$R9</f>
        <v>0</v>
      </c>
      <c r="T9" s="20">
        <f t="shared" si="26"/>
        <v>0</v>
      </c>
      <c r="U9" s="20">
        <f t="shared" si="26"/>
        <v>0.2982867951</v>
      </c>
      <c r="V9" s="20">
        <f t="shared" si="26"/>
        <v>0</v>
      </c>
      <c r="W9" s="20">
        <f t="shared" si="26"/>
        <v>0</v>
      </c>
      <c r="X9" s="20">
        <f t="shared" si="26"/>
        <v>0</v>
      </c>
      <c r="Y9" s="20">
        <f t="shared" si="26"/>
        <v>0</v>
      </c>
      <c r="Z9" s="20">
        <f t="shared" ref="Z9:AF9" si="27">S9/S$56</f>
        <v>0</v>
      </c>
      <c r="AA9" s="20">
        <f t="shared" si="27"/>
        <v>0</v>
      </c>
      <c r="AB9" s="20">
        <f t="shared" si="27"/>
        <v>0.3450156896</v>
      </c>
      <c r="AC9" s="20">
        <f t="shared" si="27"/>
        <v>0</v>
      </c>
      <c r="AD9" s="20">
        <f t="shared" si="27"/>
        <v>0</v>
      </c>
      <c r="AE9" s="20">
        <f t="shared" si="27"/>
        <v>0</v>
      </c>
      <c r="AF9" s="20">
        <f t="shared" si="27"/>
        <v>0</v>
      </c>
      <c r="AG9" s="20">
        <f t="shared" ref="AG9:AL9" si="28">Z9*$AF9</f>
        <v>0</v>
      </c>
      <c r="AH9" s="20">
        <f t="shared" si="28"/>
        <v>0</v>
      </c>
      <c r="AI9" s="21">
        <f t="shared" si="28"/>
        <v>0</v>
      </c>
      <c r="AJ9" s="21">
        <f t="shared" si="28"/>
        <v>0</v>
      </c>
      <c r="AK9" s="21">
        <f t="shared" si="28"/>
        <v>0</v>
      </c>
      <c r="AL9" s="21">
        <f t="shared" si="28"/>
        <v>0</v>
      </c>
    </row>
    <row r="10" ht="14.25" customHeight="1">
      <c r="B10" s="24" t="s">
        <v>29</v>
      </c>
      <c r="C10" s="25">
        <v>0.0</v>
      </c>
      <c r="D10" s="25">
        <v>0.0</v>
      </c>
      <c r="E10" s="25">
        <v>0.0</v>
      </c>
      <c r="F10" s="25">
        <v>0.0</v>
      </c>
      <c r="G10" s="25">
        <v>0.0</v>
      </c>
      <c r="H10" s="25">
        <v>1.0</v>
      </c>
      <c r="I10" s="25">
        <v>0.0</v>
      </c>
      <c r="J10" s="20">
        <f t="shared" ref="J10:P10" si="29">C10/C$56</f>
        <v>0</v>
      </c>
      <c r="K10" s="20">
        <f t="shared" si="29"/>
        <v>0</v>
      </c>
      <c r="L10" s="20">
        <f t="shared" si="29"/>
        <v>0</v>
      </c>
      <c r="M10" s="20">
        <f t="shared" si="29"/>
        <v>0</v>
      </c>
      <c r="N10" s="20">
        <f t="shared" si="29"/>
        <v>0</v>
      </c>
      <c r="O10" s="20">
        <f t="shared" si="29"/>
        <v>0.04761904762</v>
      </c>
      <c r="P10" s="20">
        <f t="shared" si="29"/>
        <v>0</v>
      </c>
      <c r="Q10" s="20">
        <f t="shared" si="7"/>
        <v>1</v>
      </c>
      <c r="R10" s="20">
        <f t="shared" si="8"/>
        <v>2.386294361</v>
      </c>
      <c r="S10" s="20">
        <f t="shared" ref="S10:Y10" si="30">J10*$R10</f>
        <v>0</v>
      </c>
      <c r="T10" s="20">
        <f t="shared" si="30"/>
        <v>0</v>
      </c>
      <c r="U10" s="20">
        <f t="shared" si="30"/>
        <v>0</v>
      </c>
      <c r="V10" s="20">
        <f t="shared" si="30"/>
        <v>0</v>
      </c>
      <c r="W10" s="20">
        <f t="shared" si="30"/>
        <v>0</v>
      </c>
      <c r="X10" s="20">
        <f t="shared" si="30"/>
        <v>0.1136330648</v>
      </c>
      <c r="Y10" s="20">
        <f t="shared" si="30"/>
        <v>0</v>
      </c>
      <c r="Z10" s="20">
        <f t="shared" ref="Z10:AF10" si="31">S10/S$56</f>
        <v>0</v>
      </c>
      <c r="AA10" s="20">
        <f t="shared" si="31"/>
        <v>0</v>
      </c>
      <c r="AB10" s="20">
        <f t="shared" si="31"/>
        <v>0</v>
      </c>
      <c r="AC10" s="20">
        <f t="shared" si="31"/>
        <v>0</v>
      </c>
      <c r="AD10" s="20">
        <f t="shared" si="31"/>
        <v>0</v>
      </c>
      <c r="AE10" s="20">
        <f t="shared" si="31"/>
        <v>0.1947055662</v>
      </c>
      <c r="AF10" s="20">
        <f t="shared" si="31"/>
        <v>0</v>
      </c>
      <c r="AG10" s="20">
        <f t="shared" ref="AG10:AL10" si="32">Z10*$AF10</f>
        <v>0</v>
      </c>
      <c r="AH10" s="20">
        <f t="shared" si="32"/>
        <v>0</v>
      </c>
      <c r="AI10" s="21">
        <f t="shared" si="32"/>
        <v>0</v>
      </c>
      <c r="AJ10" s="21">
        <f t="shared" si="32"/>
        <v>0</v>
      </c>
      <c r="AK10" s="21">
        <f t="shared" si="32"/>
        <v>0</v>
      </c>
      <c r="AL10" s="21">
        <f t="shared" si="32"/>
        <v>0</v>
      </c>
    </row>
    <row r="11" ht="14.25" customHeight="1">
      <c r="B11" s="24" t="s">
        <v>30</v>
      </c>
      <c r="C11" s="25">
        <v>0.0</v>
      </c>
      <c r="D11" s="25">
        <v>0.0</v>
      </c>
      <c r="E11" s="25">
        <v>0.0</v>
      </c>
      <c r="F11" s="25">
        <v>1.0</v>
      </c>
      <c r="G11" s="25">
        <v>0.0</v>
      </c>
      <c r="H11" s="25">
        <v>0.0</v>
      </c>
      <c r="I11" s="25">
        <v>0.0</v>
      </c>
      <c r="J11" s="20">
        <f t="shared" ref="J11:P11" si="33">C11/C$56</f>
        <v>0</v>
      </c>
      <c r="K11" s="20">
        <f t="shared" si="33"/>
        <v>0</v>
      </c>
      <c r="L11" s="20">
        <f t="shared" si="33"/>
        <v>0</v>
      </c>
      <c r="M11" s="20">
        <f t="shared" si="33"/>
        <v>0.1</v>
      </c>
      <c r="N11" s="20">
        <f t="shared" si="33"/>
        <v>0</v>
      </c>
      <c r="O11" s="20">
        <f t="shared" si="33"/>
        <v>0</v>
      </c>
      <c r="P11" s="20">
        <f t="shared" si="33"/>
        <v>0</v>
      </c>
      <c r="Q11" s="20">
        <f t="shared" si="7"/>
        <v>1</v>
      </c>
      <c r="R11" s="20">
        <f t="shared" si="8"/>
        <v>2.386294361</v>
      </c>
      <c r="S11" s="20">
        <f t="shared" ref="S11:Y11" si="34">J11*$R11</f>
        <v>0</v>
      </c>
      <c r="T11" s="20">
        <f t="shared" si="34"/>
        <v>0</v>
      </c>
      <c r="U11" s="20">
        <f t="shared" si="34"/>
        <v>0</v>
      </c>
      <c r="V11" s="20">
        <f t="shared" si="34"/>
        <v>0.2386294361</v>
      </c>
      <c r="W11" s="20">
        <f t="shared" si="34"/>
        <v>0</v>
      </c>
      <c r="X11" s="20">
        <f t="shared" si="34"/>
        <v>0</v>
      </c>
      <c r="Y11" s="20">
        <f t="shared" si="34"/>
        <v>0</v>
      </c>
      <c r="Z11" s="20">
        <f t="shared" ref="Z11:AF11" si="35">S11/S$56</f>
        <v>0</v>
      </c>
      <c r="AA11" s="20">
        <f t="shared" si="35"/>
        <v>0</v>
      </c>
      <c r="AB11" s="20">
        <f t="shared" si="35"/>
        <v>0</v>
      </c>
      <c r="AC11" s="20">
        <f t="shared" si="35"/>
        <v>0.2854824332</v>
      </c>
      <c r="AD11" s="20">
        <f t="shared" si="35"/>
        <v>0</v>
      </c>
      <c r="AE11" s="20">
        <f t="shared" si="35"/>
        <v>0</v>
      </c>
      <c r="AF11" s="20">
        <f t="shared" si="35"/>
        <v>0</v>
      </c>
      <c r="AG11" s="20">
        <f t="shared" ref="AG11:AL11" si="36">Z11*$AF11</f>
        <v>0</v>
      </c>
      <c r="AH11" s="20">
        <f t="shared" si="36"/>
        <v>0</v>
      </c>
      <c r="AI11" s="21">
        <f t="shared" si="36"/>
        <v>0</v>
      </c>
      <c r="AJ11" s="21">
        <f t="shared" si="36"/>
        <v>0</v>
      </c>
      <c r="AK11" s="21">
        <f t="shared" si="36"/>
        <v>0</v>
      </c>
      <c r="AL11" s="21">
        <f t="shared" si="36"/>
        <v>0</v>
      </c>
    </row>
    <row r="12" ht="14.25" customHeight="1">
      <c r="B12" s="24" t="s">
        <v>31</v>
      </c>
      <c r="C12" s="25">
        <v>0.0</v>
      </c>
      <c r="D12" s="25">
        <v>0.0</v>
      </c>
      <c r="E12" s="25">
        <v>0.0</v>
      </c>
      <c r="F12" s="25">
        <v>0.0</v>
      </c>
      <c r="G12" s="25">
        <v>1.0</v>
      </c>
      <c r="H12" s="25">
        <v>0.0</v>
      </c>
      <c r="I12" s="25">
        <v>0.0</v>
      </c>
      <c r="J12" s="20">
        <f t="shared" ref="J12:P12" si="37">C12/C$56</f>
        <v>0</v>
      </c>
      <c r="K12" s="20">
        <f t="shared" si="37"/>
        <v>0</v>
      </c>
      <c r="L12" s="20">
        <f t="shared" si="37"/>
        <v>0</v>
      </c>
      <c r="M12" s="20">
        <f t="shared" si="37"/>
        <v>0</v>
      </c>
      <c r="N12" s="20">
        <f t="shared" si="37"/>
        <v>0.06666666667</v>
      </c>
      <c r="O12" s="20">
        <f t="shared" si="37"/>
        <v>0</v>
      </c>
      <c r="P12" s="20">
        <f t="shared" si="37"/>
        <v>0</v>
      </c>
      <c r="Q12" s="20">
        <f t="shared" si="7"/>
        <v>1</v>
      </c>
      <c r="R12" s="20">
        <f t="shared" si="8"/>
        <v>2.386294361</v>
      </c>
      <c r="S12" s="20">
        <f t="shared" ref="S12:Y12" si="38">J12*$R12</f>
        <v>0</v>
      </c>
      <c r="T12" s="20">
        <f t="shared" si="38"/>
        <v>0</v>
      </c>
      <c r="U12" s="20">
        <f t="shared" si="38"/>
        <v>0</v>
      </c>
      <c r="V12" s="20">
        <f t="shared" si="38"/>
        <v>0</v>
      </c>
      <c r="W12" s="20">
        <f t="shared" si="38"/>
        <v>0.1590862907</v>
      </c>
      <c r="X12" s="20">
        <f t="shared" si="38"/>
        <v>0</v>
      </c>
      <c r="Y12" s="20">
        <f t="shared" si="38"/>
        <v>0</v>
      </c>
      <c r="Z12" s="20">
        <f t="shared" ref="Z12:AF12" si="39">S12/S$56</f>
        <v>0</v>
      </c>
      <c r="AA12" s="20">
        <f t="shared" si="39"/>
        <v>0</v>
      </c>
      <c r="AB12" s="20">
        <f t="shared" si="39"/>
        <v>0</v>
      </c>
      <c r="AC12" s="20">
        <f t="shared" si="39"/>
        <v>0</v>
      </c>
      <c r="AD12" s="20">
        <f t="shared" si="39"/>
        <v>0.272705335</v>
      </c>
      <c r="AE12" s="20">
        <f t="shared" si="39"/>
        <v>0</v>
      </c>
      <c r="AF12" s="20">
        <f t="shared" si="39"/>
        <v>0</v>
      </c>
      <c r="AG12" s="20">
        <f t="shared" ref="AG12:AL12" si="40">Z12*$AF12</f>
        <v>0</v>
      </c>
      <c r="AH12" s="20">
        <f t="shared" si="40"/>
        <v>0</v>
      </c>
      <c r="AI12" s="21">
        <f t="shared" si="40"/>
        <v>0</v>
      </c>
      <c r="AJ12" s="21">
        <f t="shared" si="40"/>
        <v>0</v>
      </c>
      <c r="AK12" s="21">
        <f t="shared" si="40"/>
        <v>0</v>
      </c>
      <c r="AL12" s="21">
        <f t="shared" si="40"/>
        <v>0</v>
      </c>
    </row>
    <row r="13" ht="14.25" customHeight="1">
      <c r="B13" s="24" t="s">
        <v>32</v>
      </c>
      <c r="C13" s="25">
        <v>0.0</v>
      </c>
      <c r="D13" s="25">
        <v>0.0</v>
      </c>
      <c r="E13" s="25">
        <v>0.0</v>
      </c>
      <c r="F13" s="25">
        <v>0.0</v>
      </c>
      <c r="G13" s="25">
        <v>1.0</v>
      </c>
      <c r="H13" s="25">
        <v>0.0</v>
      </c>
      <c r="I13" s="25">
        <v>0.0</v>
      </c>
      <c r="J13" s="20">
        <f t="shared" ref="J13:P13" si="41">C13/C$56</f>
        <v>0</v>
      </c>
      <c r="K13" s="20">
        <f t="shared" si="41"/>
        <v>0</v>
      </c>
      <c r="L13" s="20">
        <f t="shared" si="41"/>
        <v>0</v>
      </c>
      <c r="M13" s="20">
        <f t="shared" si="41"/>
        <v>0</v>
      </c>
      <c r="N13" s="20">
        <f t="shared" si="41"/>
        <v>0.06666666667</v>
      </c>
      <c r="O13" s="20">
        <f t="shared" si="41"/>
        <v>0</v>
      </c>
      <c r="P13" s="20">
        <f t="shared" si="41"/>
        <v>0</v>
      </c>
      <c r="Q13" s="20">
        <f t="shared" si="7"/>
        <v>1</v>
      </c>
      <c r="R13" s="20">
        <f t="shared" si="8"/>
        <v>2.386294361</v>
      </c>
      <c r="S13" s="20">
        <f t="shared" ref="S13:Y13" si="42">J13*$R13</f>
        <v>0</v>
      </c>
      <c r="T13" s="20">
        <f t="shared" si="42"/>
        <v>0</v>
      </c>
      <c r="U13" s="20">
        <f t="shared" si="42"/>
        <v>0</v>
      </c>
      <c r="V13" s="20">
        <f t="shared" si="42"/>
        <v>0</v>
      </c>
      <c r="W13" s="20">
        <f t="shared" si="42"/>
        <v>0.1590862907</v>
      </c>
      <c r="X13" s="20">
        <f t="shared" si="42"/>
        <v>0</v>
      </c>
      <c r="Y13" s="20">
        <f t="shared" si="42"/>
        <v>0</v>
      </c>
      <c r="Z13" s="20">
        <f t="shared" ref="Z13:AF13" si="43">S13/S$56</f>
        <v>0</v>
      </c>
      <c r="AA13" s="20">
        <f t="shared" si="43"/>
        <v>0</v>
      </c>
      <c r="AB13" s="20">
        <f t="shared" si="43"/>
        <v>0</v>
      </c>
      <c r="AC13" s="20">
        <f t="shared" si="43"/>
        <v>0</v>
      </c>
      <c r="AD13" s="20">
        <f t="shared" si="43"/>
        <v>0.272705335</v>
      </c>
      <c r="AE13" s="20">
        <f t="shared" si="43"/>
        <v>0</v>
      </c>
      <c r="AF13" s="20">
        <f t="shared" si="43"/>
        <v>0</v>
      </c>
      <c r="AG13" s="20">
        <f t="shared" ref="AG13:AL13" si="44">Z13*$AF13</f>
        <v>0</v>
      </c>
      <c r="AH13" s="20">
        <f t="shared" si="44"/>
        <v>0</v>
      </c>
      <c r="AI13" s="21">
        <f t="shared" si="44"/>
        <v>0</v>
      </c>
      <c r="AJ13" s="21">
        <f t="shared" si="44"/>
        <v>0</v>
      </c>
      <c r="AK13" s="21">
        <f t="shared" si="44"/>
        <v>0</v>
      </c>
      <c r="AL13" s="21">
        <f t="shared" si="44"/>
        <v>0</v>
      </c>
    </row>
    <row r="14" ht="14.25" customHeight="1">
      <c r="B14" s="24" t="s">
        <v>33</v>
      </c>
      <c r="C14" s="25">
        <v>0.0</v>
      </c>
      <c r="D14" s="25">
        <v>0.0</v>
      </c>
      <c r="E14" s="25">
        <v>0.0</v>
      </c>
      <c r="F14" s="25">
        <v>1.0</v>
      </c>
      <c r="G14" s="25">
        <v>0.0</v>
      </c>
      <c r="H14" s="25">
        <v>0.0</v>
      </c>
      <c r="I14" s="25">
        <v>0.0</v>
      </c>
      <c r="J14" s="20">
        <f t="shared" ref="J14:P14" si="45">C14/C$56</f>
        <v>0</v>
      </c>
      <c r="K14" s="20">
        <f t="shared" si="45"/>
        <v>0</v>
      </c>
      <c r="L14" s="20">
        <f t="shared" si="45"/>
        <v>0</v>
      </c>
      <c r="M14" s="20">
        <f t="shared" si="45"/>
        <v>0.1</v>
      </c>
      <c r="N14" s="20">
        <f t="shared" si="45"/>
        <v>0</v>
      </c>
      <c r="O14" s="20">
        <f t="shared" si="45"/>
        <v>0</v>
      </c>
      <c r="P14" s="20">
        <f t="shared" si="45"/>
        <v>0</v>
      </c>
      <c r="Q14" s="20">
        <f t="shared" si="7"/>
        <v>1</v>
      </c>
      <c r="R14" s="20">
        <f t="shared" si="8"/>
        <v>2.386294361</v>
      </c>
      <c r="S14" s="20">
        <f t="shared" ref="S14:Y14" si="46">J14*$R14</f>
        <v>0</v>
      </c>
      <c r="T14" s="20">
        <f t="shared" si="46"/>
        <v>0</v>
      </c>
      <c r="U14" s="20">
        <f t="shared" si="46"/>
        <v>0</v>
      </c>
      <c r="V14" s="20">
        <f t="shared" si="46"/>
        <v>0.2386294361</v>
      </c>
      <c r="W14" s="20">
        <f t="shared" si="46"/>
        <v>0</v>
      </c>
      <c r="X14" s="20">
        <f t="shared" si="46"/>
        <v>0</v>
      </c>
      <c r="Y14" s="20">
        <f t="shared" si="46"/>
        <v>0</v>
      </c>
      <c r="Z14" s="20">
        <f t="shared" ref="Z14:AF14" si="47">S14/S$56</f>
        <v>0</v>
      </c>
      <c r="AA14" s="20">
        <f t="shared" si="47"/>
        <v>0</v>
      </c>
      <c r="AB14" s="20">
        <f t="shared" si="47"/>
        <v>0</v>
      </c>
      <c r="AC14" s="20">
        <f t="shared" si="47"/>
        <v>0.2854824332</v>
      </c>
      <c r="AD14" s="20">
        <f t="shared" si="47"/>
        <v>0</v>
      </c>
      <c r="AE14" s="20">
        <f t="shared" si="47"/>
        <v>0</v>
      </c>
      <c r="AF14" s="20">
        <f t="shared" si="47"/>
        <v>0</v>
      </c>
      <c r="AG14" s="20">
        <f t="shared" ref="AG14:AL14" si="48">Z14*$AF14</f>
        <v>0</v>
      </c>
      <c r="AH14" s="20">
        <f t="shared" si="48"/>
        <v>0</v>
      </c>
      <c r="AI14" s="21">
        <f t="shared" si="48"/>
        <v>0</v>
      </c>
      <c r="AJ14" s="21">
        <f t="shared" si="48"/>
        <v>0</v>
      </c>
      <c r="AK14" s="21">
        <f t="shared" si="48"/>
        <v>0</v>
      </c>
      <c r="AL14" s="21">
        <f t="shared" si="48"/>
        <v>0</v>
      </c>
    </row>
    <row r="15" ht="14.25" customHeight="1">
      <c r="B15" s="24" t="s">
        <v>34</v>
      </c>
      <c r="C15" s="25">
        <v>0.0</v>
      </c>
      <c r="D15" s="25">
        <v>0.0</v>
      </c>
      <c r="E15" s="25">
        <v>0.0</v>
      </c>
      <c r="F15" s="25">
        <v>0.0</v>
      </c>
      <c r="G15" s="25">
        <v>0.0</v>
      </c>
      <c r="H15" s="25">
        <v>1.0</v>
      </c>
      <c r="I15" s="25">
        <v>0.0</v>
      </c>
      <c r="J15" s="20">
        <f t="shared" ref="J15:P15" si="49">C15/C$56</f>
        <v>0</v>
      </c>
      <c r="K15" s="20">
        <f t="shared" si="49"/>
        <v>0</v>
      </c>
      <c r="L15" s="20">
        <f t="shared" si="49"/>
        <v>0</v>
      </c>
      <c r="M15" s="20">
        <f t="shared" si="49"/>
        <v>0</v>
      </c>
      <c r="N15" s="20">
        <f t="shared" si="49"/>
        <v>0</v>
      </c>
      <c r="O15" s="20">
        <f t="shared" si="49"/>
        <v>0.04761904762</v>
      </c>
      <c r="P15" s="20">
        <f t="shared" si="49"/>
        <v>0</v>
      </c>
      <c r="Q15" s="20">
        <f t="shared" si="7"/>
        <v>1</v>
      </c>
      <c r="R15" s="20">
        <f t="shared" si="8"/>
        <v>2.386294361</v>
      </c>
      <c r="S15" s="20">
        <f t="shared" ref="S15:Y15" si="50">J15*$R15</f>
        <v>0</v>
      </c>
      <c r="T15" s="20">
        <f t="shared" si="50"/>
        <v>0</v>
      </c>
      <c r="U15" s="20">
        <f t="shared" si="50"/>
        <v>0</v>
      </c>
      <c r="V15" s="20">
        <f t="shared" si="50"/>
        <v>0</v>
      </c>
      <c r="W15" s="20">
        <f t="shared" si="50"/>
        <v>0</v>
      </c>
      <c r="X15" s="20">
        <f t="shared" si="50"/>
        <v>0.1136330648</v>
      </c>
      <c r="Y15" s="20">
        <f t="shared" si="50"/>
        <v>0</v>
      </c>
      <c r="Z15" s="20">
        <f t="shared" ref="Z15:AF15" si="51">S15/S$56</f>
        <v>0</v>
      </c>
      <c r="AA15" s="20">
        <f t="shared" si="51"/>
        <v>0</v>
      </c>
      <c r="AB15" s="20">
        <f t="shared" si="51"/>
        <v>0</v>
      </c>
      <c r="AC15" s="20">
        <f t="shared" si="51"/>
        <v>0</v>
      </c>
      <c r="AD15" s="20">
        <f t="shared" si="51"/>
        <v>0</v>
      </c>
      <c r="AE15" s="20">
        <f t="shared" si="51"/>
        <v>0.1947055662</v>
      </c>
      <c r="AF15" s="20">
        <f t="shared" si="51"/>
        <v>0</v>
      </c>
      <c r="AG15" s="20">
        <f t="shared" ref="AG15:AL15" si="52">Z15*$AF15</f>
        <v>0</v>
      </c>
      <c r="AH15" s="20">
        <f t="shared" si="52"/>
        <v>0</v>
      </c>
      <c r="AI15" s="21">
        <f t="shared" si="52"/>
        <v>0</v>
      </c>
      <c r="AJ15" s="21">
        <f t="shared" si="52"/>
        <v>0</v>
      </c>
      <c r="AK15" s="21">
        <f t="shared" si="52"/>
        <v>0</v>
      </c>
      <c r="AL15" s="21">
        <f t="shared" si="52"/>
        <v>0</v>
      </c>
    </row>
    <row r="16" ht="14.25" customHeight="1">
      <c r="B16" s="24" t="s">
        <v>35</v>
      </c>
      <c r="C16" s="25">
        <v>0.0</v>
      </c>
      <c r="D16" s="25">
        <v>0.0</v>
      </c>
      <c r="E16" s="25">
        <v>0.0</v>
      </c>
      <c r="F16" s="25">
        <v>0.0</v>
      </c>
      <c r="G16" s="25">
        <v>0.0</v>
      </c>
      <c r="H16" s="25">
        <v>1.0</v>
      </c>
      <c r="I16" s="25">
        <v>0.0</v>
      </c>
      <c r="J16" s="20">
        <f t="shared" ref="J16:P16" si="53">C16/C$56</f>
        <v>0</v>
      </c>
      <c r="K16" s="20">
        <f t="shared" si="53"/>
        <v>0</v>
      </c>
      <c r="L16" s="20">
        <f t="shared" si="53"/>
        <v>0</v>
      </c>
      <c r="M16" s="20">
        <f t="shared" si="53"/>
        <v>0</v>
      </c>
      <c r="N16" s="20">
        <f t="shared" si="53"/>
        <v>0</v>
      </c>
      <c r="O16" s="20">
        <f t="shared" si="53"/>
        <v>0.04761904762</v>
      </c>
      <c r="P16" s="20">
        <f t="shared" si="53"/>
        <v>0</v>
      </c>
      <c r="Q16" s="20">
        <f t="shared" si="7"/>
        <v>1</v>
      </c>
      <c r="R16" s="20">
        <f t="shared" si="8"/>
        <v>2.386294361</v>
      </c>
      <c r="S16" s="20">
        <f t="shared" ref="S16:Y16" si="54">J16*$R16</f>
        <v>0</v>
      </c>
      <c r="T16" s="20">
        <f t="shared" si="54"/>
        <v>0</v>
      </c>
      <c r="U16" s="20">
        <f t="shared" si="54"/>
        <v>0</v>
      </c>
      <c r="V16" s="20">
        <f t="shared" si="54"/>
        <v>0</v>
      </c>
      <c r="W16" s="20">
        <f t="shared" si="54"/>
        <v>0</v>
      </c>
      <c r="X16" s="20">
        <f t="shared" si="54"/>
        <v>0.1136330648</v>
      </c>
      <c r="Y16" s="20">
        <f t="shared" si="54"/>
        <v>0</v>
      </c>
      <c r="Z16" s="20">
        <f t="shared" ref="Z16:AF16" si="55">S16/S$56</f>
        <v>0</v>
      </c>
      <c r="AA16" s="20">
        <f t="shared" si="55"/>
        <v>0</v>
      </c>
      <c r="AB16" s="20">
        <f t="shared" si="55"/>
        <v>0</v>
      </c>
      <c r="AC16" s="20">
        <f t="shared" si="55"/>
        <v>0</v>
      </c>
      <c r="AD16" s="20">
        <f t="shared" si="55"/>
        <v>0</v>
      </c>
      <c r="AE16" s="20">
        <f t="shared" si="55"/>
        <v>0.1947055662</v>
      </c>
      <c r="AF16" s="20">
        <f t="shared" si="55"/>
        <v>0</v>
      </c>
      <c r="AG16" s="20">
        <f t="shared" ref="AG16:AL16" si="56">Z16*$AF16</f>
        <v>0</v>
      </c>
      <c r="AH16" s="20">
        <f t="shared" si="56"/>
        <v>0</v>
      </c>
      <c r="AI16" s="21">
        <f t="shared" si="56"/>
        <v>0</v>
      </c>
      <c r="AJ16" s="21">
        <f t="shared" si="56"/>
        <v>0</v>
      </c>
      <c r="AK16" s="21">
        <f t="shared" si="56"/>
        <v>0</v>
      </c>
      <c r="AL16" s="21">
        <f t="shared" si="56"/>
        <v>0</v>
      </c>
    </row>
    <row r="17" ht="14.25" customHeight="1">
      <c r="B17" s="24" t="s">
        <v>36</v>
      </c>
      <c r="C17" s="25">
        <v>3.0</v>
      </c>
      <c r="D17" s="25">
        <v>1.0</v>
      </c>
      <c r="E17" s="25">
        <v>2.0</v>
      </c>
      <c r="F17" s="25">
        <v>0.0</v>
      </c>
      <c r="G17" s="25">
        <v>0.0</v>
      </c>
      <c r="H17" s="25">
        <v>0.0</v>
      </c>
      <c r="I17" s="25">
        <v>1.0</v>
      </c>
      <c r="J17" s="20">
        <f t="shared" ref="J17:P17" si="57">C17/C$56</f>
        <v>0.2727272727</v>
      </c>
      <c r="K17" s="20">
        <f t="shared" si="57"/>
        <v>0.125</v>
      </c>
      <c r="L17" s="20">
        <f t="shared" si="57"/>
        <v>0.25</v>
      </c>
      <c r="M17" s="20">
        <f t="shared" si="57"/>
        <v>0</v>
      </c>
      <c r="N17" s="20">
        <f t="shared" si="57"/>
        <v>0</v>
      </c>
      <c r="O17" s="20">
        <f t="shared" si="57"/>
        <v>0</v>
      </c>
      <c r="P17" s="20">
        <f t="shared" si="57"/>
        <v>0.3333333333</v>
      </c>
      <c r="Q17" s="20">
        <f t="shared" si="7"/>
        <v>4</v>
      </c>
      <c r="R17" s="20">
        <f t="shared" si="8"/>
        <v>1.470003629</v>
      </c>
      <c r="S17" s="20">
        <f t="shared" ref="S17:Y17" si="58">J17*$R17</f>
        <v>0.4009100807</v>
      </c>
      <c r="T17" s="20">
        <f t="shared" si="58"/>
        <v>0.1837504537</v>
      </c>
      <c r="U17" s="20">
        <f t="shared" si="58"/>
        <v>0.3675009073</v>
      </c>
      <c r="V17" s="20">
        <f t="shared" si="58"/>
        <v>0</v>
      </c>
      <c r="W17" s="20">
        <f t="shared" si="58"/>
        <v>0</v>
      </c>
      <c r="X17" s="20">
        <f t="shared" si="58"/>
        <v>0</v>
      </c>
      <c r="Y17" s="20">
        <f t="shared" si="58"/>
        <v>0.4900012097</v>
      </c>
      <c r="Z17" s="20">
        <f t="shared" ref="Z17:AF17" si="59">S17/S$56</f>
        <v>0.5720508574</v>
      </c>
      <c r="AA17" s="20">
        <f t="shared" si="59"/>
        <v>0.2668047241</v>
      </c>
      <c r="AB17" s="20">
        <f t="shared" si="59"/>
        <v>0.4250727187</v>
      </c>
      <c r="AC17" s="20">
        <f t="shared" si="59"/>
        <v>0</v>
      </c>
      <c r="AD17" s="20">
        <f t="shared" si="59"/>
        <v>0</v>
      </c>
      <c r="AE17" s="20">
        <f t="shared" si="59"/>
        <v>0</v>
      </c>
      <c r="AF17" s="20">
        <f t="shared" si="59"/>
        <v>0.5773502692</v>
      </c>
      <c r="AG17" s="20">
        <f t="shared" ref="AG17:AL17" si="60">Z17*$AF17</f>
        <v>0.3302737165</v>
      </c>
      <c r="AH17" s="20">
        <f t="shared" si="60"/>
        <v>0.1540397793</v>
      </c>
      <c r="AI17" s="21">
        <f t="shared" si="60"/>
        <v>0.2454158486</v>
      </c>
      <c r="AJ17" s="21">
        <f t="shared" si="60"/>
        <v>0</v>
      </c>
      <c r="AK17" s="21">
        <f t="shared" si="60"/>
        <v>0</v>
      </c>
      <c r="AL17" s="21">
        <f t="shared" si="60"/>
        <v>0</v>
      </c>
    </row>
    <row r="18" ht="14.25" customHeight="1">
      <c r="B18" s="24" t="s">
        <v>37</v>
      </c>
      <c r="C18" s="25">
        <v>0.0</v>
      </c>
      <c r="D18" s="25">
        <v>0.0</v>
      </c>
      <c r="E18" s="25">
        <v>0.0</v>
      </c>
      <c r="F18" s="25">
        <v>1.0</v>
      </c>
      <c r="G18" s="25">
        <v>0.0</v>
      </c>
      <c r="H18" s="25">
        <v>0.0</v>
      </c>
      <c r="I18" s="25">
        <v>0.0</v>
      </c>
      <c r="J18" s="20">
        <f t="shared" ref="J18:P18" si="61">C18/C$56</f>
        <v>0</v>
      </c>
      <c r="K18" s="20">
        <f t="shared" si="61"/>
        <v>0</v>
      </c>
      <c r="L18" s="20">
        <f t="shared" si="61"/>
        <v>0</v>
      </c>
      <c r="M18" s="20">
        <f t="shared" si="61"/>
        <v>0.1</v>
      </c>
      <c r="N18" s="20">
        <f t="shared" si="61"/>
        <v>0</v>
      </c>
      <c r="O18" s="20">
        <f t="shared" si="61"/>
        <v>0</v>
      </c>
      <c r="P18" s="20">
        <f t="shared" si="61"/>
        <v>0</v>
      </c>
      <c r="Q18" s="20">
        <f t="shared" si="7"/>
        <v>1</v>
      </c>
      <c r="R18" s="20">
        <f t="shared" si="8"/>
        <v>2.386294361</v>
      </c>
      <c r="S18" s="20">
        <f t="shared" ref="S18:Y18" si="62">J18*$R18</f>
        <v>0</v>
      </c>
      <c r="T18" s="20">
        <f t="shared" si="62"/>
        <v>0</v>
      </c>
      <c r="U18" s="20">
        <f t="shared" si="62"/>
        <v>0</v>
      </c>
      <c r="V18" s="20">
        <f t="shared" si="62"/>
        <v>0.2386294361</v>
      </c>
      <c r="W18" s="20">
        <f t="shared" si="62"/>
        <v>0</v>
      </c>
      <c r="X18" s="20">
        <f t="shared" si="62"/>
        <v>0</v>
      </c>
      <c r="Y18" s="20">
        <f t="shared" si="62"/>
        <v>0</v>
      </c>
      <c r="Z18" s="20">
        <f t="shared" ref="Z18:AF18" si="63">S18/S$56</f>
        <v>0</v>
      </c>
      <c r="AA18" s="20">
        <f t="shared" si="63"/>
        <v>0</v>
      </c>
      <c r="AB18" s="20">
        <f t="shared" si="63"/>
        <v>0</v>
      </c>
      <c r="AC18" s="20">
        <f t="shared" si="63"/>
        <v>0.2854824332</v>
      </c>
      <c r="AD18" s="20">
        <f t="shared" si="63"/>
        <v>0</v>
      </c>
      <c r="AE18" s="20">
        <f t="shared" si="63"/>
        <v>0</v>
      </c>
      <c r="AF18" s="20">
        <f t="shared" si="63"/>
        <v>0</v>
      </c>
      <c r="AG18" s="20">
        <f t="shared" ref="AG18:AL18" si="64">Z18*$AF18</f>
        <v>0</v>
      </c>
      <c r="AH18" s="20">
        <f t="shared" si="64"/>
        <v>0</v>
      </c>
      <c r="AI18" s="21">
        <f t="shared" si="64"/>
        <v>0</v>
      </c>
      <c r="AJ18" s="21">
        <f t="shared" si="64"/>
        <v>0</v>
      </c>
      <c r="AK18" s="21">
        <f t="shared" si="64"/>
        <v>0</v>
      </c>
      <c r="AL18" s="21">
        <f t="shared" si="64"/>
        <v>0</v>
      </c>
    </row>
    <row r="19" ht="14.25" customHeight="1">
      <c r="B19" s="24" t="s">
        <v>38</v>
      </c>
      <c r="C19" s="25">
        <v>0.0</v>
      </c>
      <c r="D19" s="25">
        <v>0.0</v>
      </c>
      <c r="E19" s="25">
        <v>0.0</v>
      </c>
      <c r="F19" s="25">
        <v>0.0</v>
      </c>
      <c r="G19" s="25">
        <v>0.0</v>
      </c>
      <c r="H19" s="25">
        <v>1.0</v>
      </c>
      <c r="I19" s="25">
        <v>0.0</v>
      </c>
      <c r="J19" s="20">
        <f t="shared" ref="J19:P19" si="65">C19/C$56</f>
        <v>0</v>
      </c>
      <c r="K19" s="20">
        <f t="shared" si="65"/>
        <v>0</v>
      </c>
      <c r="L19" s="20">
        <f t="shared" si="65"/>
        <v>0</v>
      </c>
      <c r="M19" s="20">
        <f t="shared" si="65"/>
        <v>0</v>
      </c>
      <c r="N19" s="20">
        <f t="shared" si="65"/>
        <v>0</v>
      </c>
      <c r="O19" s="20">
        <f t="shared" si="65"/>
        <v>0.04761904762</v>
      </c>
      <c r="P19" s="20">
        <f t="shared" si="65"/>
        <v>0</v>
      </c>
      <c r="Q19" s="20">
        <f t="shared" si="7"/>
        <v>1</v>
      </c>
      <c r="R19" s="20">
        <f t="shared" si="8"/>
        <v>2.386294361</v>
      </c>
      <c r="S19" s="20">
        <f t="shared" ref="S19:Y19" si="66">J19*$R19</f>
        <v>0</v>
      </c>
      <c r="T19" s="20">
        <f t="shared" si="66"/>
        <v>0</v>
      </c>
      <c r="U19" s="20">
        <f t="shared" si="66"/>
        <v>0</v>
      </c>
      <c r="V19" s="20">
        <f t="shared" si="66"/>
        <v>0</v>
      </c>
      <c r="W19" s="20">
        <f t="shared" si="66"/>
        <v>0</v>
      </c>
      <c r="X19" s="20">
        <f t="shared" si="66"/>
        <v>0.1136330648</v>
      </c>
      <c r="Y19" s="20">
        <f t="shared" si="66"/>
        <v>0</v>
      </c>
      <c r="Z19" s="20">
        <f t="shared" ref="Z19:AF19" si="67">S19/S$56</f>
        <v>0</v>
      </c>
      <c r="AA19" s="20">
        <f t="shared" si="67"/>
        <v>0</v>
      </c>
      <c r="AB19" s="20">
        <f t="shared" si="67"/>
        <v>0</v>
      </c>
      <c r="AC19" s="20">
        <f t="shared" si="67"/>
        <v>0</v>
      </c>
      <c r="AD19" s="20">
        <f t="shared" si="67"/>
        <v>0</v>
      </c>
      <c r="AE19" s="20">
        <f t="shared" si="67"/>
        <v>0.1947055662</v>
      </c>
      <c r="AF19" s="20">
        <f t="shared" si="67"/>
        <v>0</v>
      </c>
      <c r="AG19" s="20">
        <f t="shared" ref="AG19:AL19" si="68">Z19*$AF19</f>
        <v>0</v>
      </c>
      <c r="AH19" s="20">
        <f t="shared" si="68"/>
        <v>0</v>
      </c>
      <c r="AI19" s="21">
        <f t="shared" si="68"/>
        <v>0</v>
      </c>
      <c r="AJ19" s="21">
        <f t="shared" si="68"/>
        <v>0</v>
      </c>
      <c r="AK19" s="21">
        <f t="shared" si="68"/>
        <v>0</v>
      </c>
      <c r="AL19" s="21">
        <f t="shared" si="68"/>
        <v>0</v>
      </c>
    </row>
    <row r="20" ht="14.25" customHeight="1">
      <c r="B20" s="24" t="s">
        <v>39</v>
      </c>
      <c r="C20" s="25">
        <v>0.0</v>
      </c>
      <c r="D20" s="25">
        <v>0.0</v>
      </c>
      <c r="E20" s="25">
        <v>0.0</v>
      </c>
      <c r="F20" s="25">
        <v>0.0</v>
      </c>
      <c r="G20" s="25">
        <v>0.0</v>
      </c>
      <c r="H20" s="25">
        <v>1.0</v>
      </c>
      <c r="I20" s="25">
        <v>0.0</v>
      </c>
      <c r="J20" s="20">
        <f t="shared" ref="J20:P20" si="69">C20/C$56</f>
        <v>0</v>
      </c>
      <c r="K20" s="20">
        <f t="shared" si="69"/>
        <v>0</v>
      </c>
      <c r="L20" s="20">
        <f t="shared" si="69"/>
        <v>0</v>
      </c>
      <c r="M20" s="20">
        <f t="shared" si="69"/>
        <v>0</v>
      </c>
      <c r="N20" s="20">
        <f t="shared" si="69"/>
        <v>0</v>
      </c>
      <c r="O20" s="20">
        <f t="shared" si="69"/>
        <v>0.04761904762</v>
      </c>
      <c r="P20" s="20">
        <f t="shared" si="69"/>
        <v>0</v>
      </c>
      <c r="Q20" s="20">
        <f t="shared" si="7"/>
        <v>1</v>
      </c>
      <c r="R20" s="20">
        <f t="shared" si="8"/>
        <v>2.386294361</v>
      </c>
      <c r="S20" s="20">
        <f t="shared" ref="S20:Y20" si="70">J20*$R20</f>
        <v>0</v>
      </c>
      <c r="T20" s="20">
        <f t="shared" si="70"/>
        <v>0</v>
      </c>
      <c r="U20" s="20">
        <f t="shared" si="70"/>
        <v>0</v>
      </c>
      <c r="V20" s="20">
        <f t="shared" si="70"/>
        <v>0</v>
      </c>
      <c r="W20" s="20">
        <f t="shared" si="70"/>
        <v>0</v>
      </c>
      <c r="X20" s="20">
        <f t="shared" si="70"/>
        <v>0.1136330648</v>
      </c>
      <c r="Y20" s="20">
        <f t="shared" si="70"/>
        <v>0</v>
      </c>
      <c r="Z20" s="20">
        <f t="shared" ref="Z20:AF20" si="71">S20/S$56</f>
        <v>0</v>
      </c>
      <c r="AA20" s="20">
        <f t="shared" si="71"/>
        <v>0</v>
      </c>
      <c r="AB20" s="20">
        <f t="shared" si="71"/>
        <v>0</v>
      </c>
      <c r="AC20" s="20">
        <f t="shared" si="71"/>
        <v>0</v>
      </c>
      <c r="AD20" s="20">
        <f t="shared" si="71"/>
        <v>0</v>
      </c>
      <c r="AE20" s="20">
        <f t="shared" si="71"/>
        <v>0.1947055662</v>
      </c>
      <c r="AF20" s="20">
        <f t="shared" si="71"/>
        <v>0</v>
      </c>
      <c r="AG20" s="20">
        <f t="shared" ref="AG20:AL20" si="72">Z20*$AF20</f>
        <v>0</v>
      </c>
      <c r="AH20" s="20">
        <f t="shared" si="72"/>
        <v>0</v>
      </c>
      <c r="AI20" s="21">
        <f t="shared" si="72"/>
        <v>0</v>
      </c>
      <c r="AJ20" s="21">
        <f t="shared" si="72"/>
        <v>0</v>
      </c>
      <c r="AK20" s="21">
        <f t="shared" si="72"/>
        <v>0</v>
      </c>
      <c r="AL20" s="21">
        <f t="shared" si="72"/>
        <v>0</v>
      </c>
    </row>
    <row r="21" ht="14.25" customHeight="1">
      <c r="B21" s="24" t="s">
        <v>40</v>
      </c>
      <c r="C21" s="25">
        <v>0.0</v>
      </c>
      <c r="D21" s="25">
        <v>0.0</v>
      </c>
      <c r="E21" s="25">
        <v>0.0</v>
      </c>
      <c r="F21" s="25">
        <v>0.0</v>
      </c>
      <c r="G21" s="25">
        <v>0.0</v>
      </c>
      <c r="H21" s="25">
        <v>1.0</v>
      </c>
      <c r="I21" s="25">
        <v>0.0</v>
      </c>
      <c r="J21" s="31">
        <f t="shared" ref="J21:P21" si="73">C21/C$56</f>
        <v>0</v>
      </c>
      <c r="K21" s="31">
        <f t="shared" si="73"/>
        <v>0</v>
      </c>
      <c r="L21" s="20">
        <f t="shared" si="73"/>
        <v>0</v>
      </c>
      <c r="M21" s="20">
        <f t="shared" si="73"/>
        <v>0</v>
      </c>
      <c r="N21" s="20">
        <f t="shared" si="73"/>
        <v>0</v>
      </c>
      <c r="O21" s="20">
        <f t="shared" si="73"/>
        <v>0.04761904762</v>
      </c>
      <c r="P21" s="31">
        <f t="shared" si="73"/>
        <v>0</v>
      </c>
      <c r="Q21" s="31">
        <f t="shared" si="7"/>
        <v>1</v>
      </c>
      <c r="R21" s="20">
        <f t="shared" si="8"/>
        <v>2.386294361</v>
      </c>
      <c r="S21" s="20">
        <f t="shared" ref="S21:Y21" si="74">J21*$R21</f>
        <v>0</v>
      </c>
      <c r="T21" s="20">
        <f t="shared" si="74"/>
        <v>0</v>
      </c>
      <c r="U21" s="20">
        <f t="shared" si="74"/>
        <v>0</v>
      </c>
      <c r="V21" s="20">
        <f t="shared" si="74"/>
        <v>0</v>
      </c>
      <c r="W21" s="20">
        <f t="shared" si="74"/>
        <v>0</v>
      </c>
      <c r="X21" s="20">
        <f t="shared" si="74"/>
        <v>0.1136330648</v>
      </c>
      <c r="Y21" s="20">
        <f t="shared" si="74"/>
        <v>0</v>
      </c>
      <c r="Z21" s="20">
        <f t="shared" ref="Z21:AF21" si="75">S21/S$56</f>
        <v>0</v>
      </c>
      <c r="AA21" s="31">
        <f t="shared" si="75"/>
        <v>0</v>
      </c>
      <c r="AB21" s="31">
        <f t="shared" si="75"/>
        <v>0</v>
      </c>
      <c r="AC21" s="20">
        <f t="shared" si="75"/>
        <v>0</v>
      </c>
      <c r="AD21" s="20">
        <f t="shared" si="75"/>
        <v>0</v>
      </c>
      <c r="AE21" s="20">
        <f t="shared" si="75"/>
        <v>0.1947055662</v>
      </c>
      <c r="AF21" s="31">
        <f t="shared" si="75"/>
        <v>0</v>
      </c>
      <c r="AG21" s="31">
        <f t="shared" ref="AG21:AL21" si="76">Z21*$AF21</f>
        <v>0</v>
      </c>
      <c r="AH21" s="31">
        <f t="shared" si="76"/>
        <v>0</v>
      </c>
      <c r="AI21" s="32">
        <f t="shared" si="76"/>
        <v>0</v>
      </c>
      <c r="AJ21" s="21">
        <f t="shared" si="76"/>
        <v>0</v>
      </c>
      <c r="AK21" s="21">
        <f t="shared" si="76"/>
        <v>0</v>
      </c>
      <c r="AL21" s="21">
        <f t="shared" si="76"/>
        <v>0</v>
      </c>
    </row>
    <row r="22" ht="14.25" customHeight="1">
      <c r="B22" s="33" t="s">
        <v>41</v>
      </c>
      <c r="C22" s="25">
        <v>1.0</v>
      </c>
      <c r="D22" s="25">
        <v>1.0</v>
      </c>
      <c r="E22" s="25">
        <v>1.0</v>
      </c>
      <c r="F22" s="25">
        <v>0.0</v>
      </c>
      <c r="G22" s="25">
        <v>0.0</v>
      </c>
      <c r="H22" s="25">
        <v>0.0</v>
      </c>
      <c r="I22" s="25">
        <v>0.0</v>
      </c>
      <c r="J22" s="20">
        <f t="shared" ref="J22:P22" si="77">C22/C$56</f>
        <v>0.09090909091</v>
      </c>
      <c r="K22" s="20">
        <f t="shared" si="77"/>
        <v>0.125</v>
      </c>
      <c r="L22" s="20">
        <f t="shared" si="77"/>
        <v>0.125</v>
      </c>
      <c r="M22" s="20">
        <f t="shared" si="77"/>
        <v>0</v>
      </c>
      <c r="N22" s="20">
        <f t="shared" si="77"/>
        <v>0</v>
      </c>
      <c r="O22" s="20">
        <f t="shared" si="77"/>
        <v>0</v>
      </c>
      <c r="P22" s="20">
        <f t="shared" si="77"/>
        <v>0</v>
      </c>
      <c r="Q22" s="20">
        <f t="shared" si="7"/>
        <v>3</v>
      </c>
      <c r="R22" s="20">
        <f t="shared" si="8"/>
        <v>1.693147181</v>
      </c>
      <c r="S22" s="20">
        <f t="shared" ref="S22:Y22" si="78">J22*$R22</f>
        <v>0.153922471</v>
      </c>
      <c r="T22" s="20">
        <f t="shared" si="78"/>
        <v>0.2116433976</v>
      </c>
      <c r="U22" s="20">
        <f t="shared" si="78"/>
        <v>0.2116433976</v>
      </c>
      <c r="V22" s="20">
        <f t="shared" si="78"/>
        <v>0</v>
      </c>
      <c r="W22" s="20">
        <f t="shared" si="78"/>
        <v>0</v>
      </c>
      <c r="X22" s="20">
        <f t="shared" si="78"/>
        <v>0</v>
      </c>
      <c r="Y22" s="20">
        <f t="shared" si="78"/>
        <v>0</v>
      </c>
      <c r="Z22" s="20">
        <f t="shared" ref="Z22:AF22" si="79">S22/S$56</f>
        <v>0.2196290034</v>
      </c>
      <c r="AA22" s="20">
        <f t="shared" si="79"/>
        <v>0.3073051368</v>
      </c>
      <c r="AB22" s="20">
        <f t="shared" si="79"/>
        <v>0.244798945</v>
      </c>
      <c r="AC22" s="20">
        <f t="shared" si="79"/>
        <v>0</v>
      </c>
      <c r="AD22" s="20">
        <f t="shared" si="79"/>
        <v>0</v>
      </c>
      <c r="AE22" s="20">
        <f t="shared" si="79"/>
        <v>0</v>
      </c>
      <c r="AF22" s="20">
        <f t="shared" si="79"/>
        <v>0</v>
      </c>
      <c r="AG22" s="20">
        <f t="shared" ref="AG22:AL22" si="80">Z22*$AF22</f>
        <v>0</v>
      </c>
      <c r="AH22" s="20">
        <f t="shared" si="80"/>
        <v>0</v>
      </c>
      <c r="AI22" s="21">
        <f t="shared" si="80"/>
        <v>0</v>
      </c>
      <c r="AJ22" s="21">
        <f t="shared" si="80"/>
        <v>0</v>
      </c>
      <c r="AK22" s="21">
        <f t="shared" si="80"/>
        <v>0</v>
      </c>
      <c r="AL22" s="21">
        <f t="shared" si="80"/>
        <v>0</v>
      </c>
    </row>
    <row r="23" ht="14.25" customHeight="1">
      <c r="B23" s="33" t="s">
        <v>42</v>
      </c>
      <c r="C23" s="25">
        <v>0.0</v>
      </c>
      <c r="D23" s="25">
        <v>0.0</v>
      </c>
      <c r="E23" s="25">
        <v>0.0</v>
      </c>
      <c r="F23" s="25">
        <v>0.0</v>
      </c>
      <c r="G23" s="25">
        <v>1.0</v>
      </c>
      <c r="H23" s="25">
        <v>0.0</v>
      </c>
      <c r="I23" s="25">
        <v>0.0</v>
      </c>
      <c r="J23" s="20">
        <f t="shared" ref="J23:P23" si="81">C23/C$56</f>
        <v>0</v>
      </c>
      <c r="K23" s="20">
        <f t="shared" si="81"/>
        <v>0</v>
      </c>
      <c r="L23" s="20">
        <f t="shared" si="81"/>
        <v>0</v>
      </c>
      <c r="M23" s="20">
        <f t="shared" si="81"/>
        <v>0</v>
      </c>
      <c r="N23" s="20">
        <f t="shared" si="81"/>
        <v>0.06666666667</v>
      </c>
      <c r="O23" s="20">
        <f t="shared" si="81"/>
        <v>0</v>
      </c>
      <c r="P23" s="20">
        <f t="shared" si="81"/>
        <v>0</v>
      </c>
      <c r="Q23" s="20">
        <f t="shared" si="7"/>
        <v>1</v>
      </c>
      <c r="R23" s="20">
        <f t="shared" si="8"/>
        <v>2.386294361</v>
      </c>
      <c r="S23" s="20">
        <f t="shared" ref="S23:Y23" si="82">J23*$R23</f>
        <v>0</v>
      </c>
      <c r="T23" s="20">
        <f t="shared" si="82"/>
        <v>0</v>
      </c>
      <c r="U23" s="20">
        <f t="shared" si="82"/>
        <v>0</v>
      </c>
      <c r="V23" s="20">
        <f t="shared" si="82"/>
        <v>0</v>
      </c>
      <c r="W23" s="20">
        <f t="shared" si="82"/>
        <v>0.1590862907</v>
      </c>
      <c r="X23" s="20">
        <f t="shared" si="82"/>
        <v>0</v>
      </c>
      <c r="Y23" s="20">
        <f t="shared" si="82"/>
        <v>0</v>
      </c>
      <c r="Z23" s="20">
        <f t="shared" ref="Z23:AF23" si="83">S23/S$56</f>
        <v>0</v>
      </c>
      <c r="AA23" s="20">
        <f t="shared" si="83"/>
        <v>0</v>
      </c>
      <c r="AB23" s="20">
        <f t="shared" si="83"/>
        <v>0</v>
      </c>
      <c r="AC23" s="20">
        <f t="shared" si="83"/>
        <v>0</v>
      </c>
      <c r="AD23" s="20">
        <f t="shared" si="83"/>
        <v>0.272705335</v>
      </c>
      <c r="AE23" s="20">
        <f t="shared" si="83"/>
        <v>0</v>
      </c>
      <c r="AF23" s="20">
        <f t="shared" si="83"/>
        <v>0</v>
      </c>
      <c r="AG23" s="20">
        <f t="shared" ref="AG23:AL23" si="84">Z23*$AF23</f>
        <v>0</v>
      </c>
      <c r="AH23" s="20">
        <f t="shared" si="84"/>
        <v>0</v>
      </c>
      <c r="AI23" s="21">
        <f t="shared" si="84"/>
        <v>0</v>
      </c>
      <c r="AJ23" s="21">
        <f t="shared" si="84"/>
        <v>0</v>
      </c>
      <c r="AK23" s="21">
        <f t="shared" si="84"/>
        <v>0</v>
      </c>
      <c r="AL23" s="21">
        <f t="shared" si="84"/>
        <v>0</v>
      </c>
    </row>
    <row r="24" ht="14.25" customHeight="1">
      <c r="B24" s="33" t="s">
        <v>43</v>
      </c>
      <c r="C24" s="25">
        <v>0.0</v>
      </c>
      <c r="D24" s="25">
        <v>0.0</v>
      </c>
      <c r="E24" s="25">
        <v>0.0</v>
      </c>
      <c r="F24" s="25">
        <v>0.0</v>
      </c>
      <c r="G24" s="25">
        <v>1.0</v>
      </c>
      <c r="H24" s="25">
        <v>0.0</v>
      </c>
      <c r="I24" s="25">
        <v>0.0</v>
      </c>
      <c r="J24" s="20">
        <f t="shared" ref="J24:P24" si="85">C24/C$56</f>
        <v>0</v>
      </c>
      <c r="K24" s="20">
        <f t="shared" si="85"/>
        <v>0</v>
      </c>
      <c r="L24" s="20">
        <f t="shared" si="85"/>
        <v>0</v>
      </c>
      <c r="M24" s="20">
        <f t="shared" si="85"/>
        <v>0</v>
      </c>
      <c r="N24" s="20">
        <f t="shared" si="85"/>
        <v>0.06666666667</v>
      </c>
      <c r="O24" s="20">
        <f t="shared" si="85"/>
        <v>0</v>
      </c>
      <c r="P24" s="20">
        <f t="shared" si="85"/>
        <v>0</v>
      </c>
      <c r="Q24" s="20">
        <f t="shared" si="7"/>
        <v>1</v>
      </c>
      <c r="R24" s="20">
        <f t="shared" si="8"/>
        <v>2.386294361</v>
      </c>
      <c r="S24" s="20">
        <f t="shared" ref="S24:Y24" si="86">J24*$R24</f>
        <v>0</v>
      </c>
      <c r="T24" s="20">
        <f t="shared" si="86"/>
        <v>0</v>
      </c>
      <c r="U24" s="20">
        <f t="shared" si="86"/>
        <v>0</v>
      </c>
      <c r="V24" s="20">
        <f t="shared" si="86"/>
        <v>0</v>
      </c>
      <c r="W24" s="20">
        <f t="shared" si="86"/>
        <v>0.1590862907</v>
      </c>
      <c r="X24" s="20">
        <f t="shared" si="86"/>
        <v>0</v>
      </c>
      <c r="Y24" s="20">
        <f t="shared" si="86"/>
        <v>0</v>
      </c>
      <c r="Z24" s="20">
        <f t="shared" ref="Z24:AF24" si="87">S24/S$56</f>
        <v>0</v>
      </c>
      <c r="AA24" s="20">
        <f t="shared" si="87"/>
        <v>0</v>
      </c>
      <c r="AB24" s="20">
        <f t="shared" si="87"/>
        <v>0</v>
      </c>
      <c r="AC24" s="20">
        <f t="shared" si="87"/>
        <v>0</v>
      </c>
      <c r="AD24" s="20">
        <f t="shared" si="87"/>
        <v>0.272705335</v>
      </c>
      <c r="AE24" s="20">
        <f t="shared" si="87"/>
        <v>0</v>
      </c>
      <c r="AF24" s="20">
        <f t="shared" si="87"/>
        <v>0</v>
      </c>
      <c r="AG24" s="20">
        <f t="shared" ref="AG24:AL24" si="88">Z24*$AF24</f>
        <v>0</v>
      </c>
      <c r="AH24" s="20">
        <f t="shared" si="88"/>
        <v>0</v>
      </c>
      <c r="AI24" s="21">
        <f t="shared" si="88"/>
        <v>0</v>
      </c>
      <c r="AJ24" s="21">
        <f t="shared" si="88"/>
        <v>0</v>
      </c>
      <c r="AK24" s="21">
        <f t="shared" si="88"/>
        <v>0</v>
      </c>
      <c r="AL24" s="21">
        <f t="shared" si="88"/>
        <v>0</v>
      </c>
    </row>
    <row r="25" ht="14.25" customHeight="1">
      <c r="B25" s="33" t="s">
        <v>44</v>
      </c>
      <c r="C25" s="25">
        <v>1.0</v>
      </c>
      <c r="D25" s="25">
        <v>0.0</v>
      </c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0">
        <f t="shared" ref="J25:P25" si="89">C25/C$56</f>
        <v>0.09090909091</v>
      </c>
      <c r="K25" s="20">
        <f t="shared" si="89"/>
        <v>0</v>
      </c>
      <c r="L25" s="20">
        <f t="shared" si="89"/>
        <v>0</v>
      </c>
      <c r="M25" s="20">
        <f t="shared" si="89"/>
        <v>0</v>
      </c>
      <c r="N25" s="20">
        <f t="shared" si="89"/>
        <v>0</v>
      </c>
      <c r="O25" s="20">
        <f t="shared" si="89"/>
        <v>0</v>
      </c>
      <c r="P25" s="20">
        <f t="shared" si="89"/>
        <v>0</v>
      </c>
      <c r="Q25" s="20">
        <f t="shared" si="7"/>
        <v>1</v>
      </c>
      <c r="R25" s="20">
        <f t="shared" si="8"/>
        <v>2.386294361</v>
      </c>
      <c r="S25" s="20">
        <f t="shared" ref="S25:Y25" si="90">J25*$R25</f>
        <v>0.216935851</v>
      </c>
      <c r="T25" s="20">
        <f t="shared" si="90"/>
        <v>0</v>
      </c>
      <c r="U25" s="20">
        <f t="shared" si="90"/>
        <v>0</v>
      </c>
      <c r="V25" s="20">
        <f t="shared" si="90"/>
        <v>0</v>
      </c>
      <c r="W25" s="20">
        <f t="shared" si="90"/>
        <v>0</v>
      </c>
      <c r="X25" s="20">
        <f t="shared" si="90"/>
        <v>0</v>
      </c>
      <c r="Y25" s="20">
        <f t="shared" si="90"/>
        <v>0</v>
      </c>
      <c r="Z25" s="20">
        <f t="shared" ref="Z25:AF25" si="91">S25/S$56</f>
        <v>0.3095415794</v>
      </c>
      <c r="AA25" s="20">
        <f t="shared" si="91"/>
        <v>0</v>
      </c>
      <c r="AB25" s="20">
        <f t="shared" si="91"/>
        <v>0</v>
      </c>
      <c r="AC25" s="20">
        <f t="shared" si="91"/>
        <v>0</v>
      </c>
      <c r="AD25" s="20">
        <f t="shared" si="91"/>
        <v>0</v>
      </c>
      <c r="AE25" s="20">
        <f t="shared" si="91"/>
        <v>0</v>
      </c>
      <c r="AF25" s="20">
        <f t="shared" si="91"/>
        <v>0</v>
      </c>
      <c r="AG25" s="20">
        <f t="shared" ref="AG25:AL25" si="92">Z25*$AF25</f>
        <v>0</v>
      </c>
      <c r="AH25" s="20">
        <f t="shared" si="92"/>
        <v>0</v>
      </c>
      <c r="AI25" s="21">
        <f t="shared" si="92"/>
        <v>0</v>
      </c>
      <c r="AJ25" s="21">
        <f t="shared" si="92"/>
        <v>0</v>
      </c>
      <c r="AK25" s="21">
        <f t="shared" si="92"/>
        <v>0</v>
      </c>
      <c r="AL25" s="21">
        <f t="shared" si="92"/>
        <v>0</v>
      </c>
    </row>
    <row r="26" ht="14.25" customHeight="1">
      <c r="B26" s="33" t="s">
        <v>45</v>
      </c>
      <c r="C26" s="25">
        <v>0.0</v>
      </c>
      <c r="D26" s="25">
        <v>0.0</v>
      </c>
      <c r="E26" s="25">
        <v>0.0</v>
      </c>
      <c r="F26" s="25">
        <v>3.0</v>
      </c>
      <c r="G26" s="25">
        <v>1.0</v>
      </c>
      <c r="H26" s="25">
        <v>0.0</v>
      </c>
      <c r="I26" s="25">
        <v>0.0</v>
      </c>
      <c r="J26" s="20">
        <f t="shared" ref="J26:P26" si="93">C26/C$56</f>
        <v>0</v>
      </c>
      <c r="K26" s="20">
        <f t="shared" si="93"/>
        <v>0</v>
      </c>
      <c r="L26" s="20">
        <f t="shared" si="93"/>
        <v>0</v>
      </c>
      <c r="M26" s="20">
        <f t="shared" si="93"/>
        <v>0.3</v>
      </c>
      <c r="N26" s="20">
        <f t="shared" si="93"/>
        <v>0.06666666667</v>
      </c>
      <c r="O26" s="20">
        <f t="shared" si="93"/>
        <v>0</v>
      </c>
      <c r="P26" s="20">
        <f t="shared" si="93"/>
        <v>0</v>
      </c>
      <c r="Q26" s="20">
        <f t="shared" si="7"/>
        <v>2</v>
      </c>
      <c r="R26" s="20">
        <f t="shared" si="8"/>
        <v>1.980829253</v>
      </c>
      <c r="S26" s="20">
        <f t="shared" ref="S26:Y26" si="94">J26*$R26</f>
        <v>0</v>
      </c>
      <c r="T26" s="20">
        <f t="shared" si="94"/>
        <v>0</v>
      </c>
      <c r="U26" s="20">
        <f t="shared" si="94"/>
        <v>0</v>
      </c>
      <c r="V26" s="20">
        <f t="shared" si="94"/>
        <v>0.5942487759</v>
      </c>
      <c r="W26" s="20">
        <f t="shared" si="94"/>
        <v>0.1320552835</v>
      </c>
      <c r="X26" s="20">
        <f t="shared" si="94"/>
        <v>0</v>
      </c>
      <c r="Y26" s="20">
        <f t="shared" si="94"/>
        <v>0</v>
      </c>
      <c r="Z26" s="20">
        <f t="shared" ref="Z26:AF26" si="95">S26/S$56</f>
        <v>0</v>
      </c>
      <c r="AA26" s="20">
        <f t="shared" si="95"/>
        <v>0</v>
      </c>
      <c r="AB26" s="20">
        <f t="shared" si="95"/>
        <v>0</v>
      </c>
      <c r="AC26" s="20">
        <f t="shared" si="95"/>
        <v>0.7109248099</v>
      </c>
      <c r="AD26" s="20">
        <f t="shared" si="95"/>
        <v>0.2263688478</v>
      </c>
      <c r="AE26" s="20">
        <f t="shared" si="95"/>
        <v>0</v>
      </c>
      <c r="AF26" s="20">
        <f t="shared" si="95"/>
        <v>0</v>
      </c>
      <c r="AG26" s="20">
        <f t="shared" ref="AG26:AL26" si="96">Z26*$AF26</f>
        <v>0</v>
      </c>
      <c r="AH26" s="20">
        <f t="shared" si="96"/>
        <v>0</v>
      </c>
      <c r="AI26" s="21">
        <f t="shared" si="96"/>
        <v>0</v>
      </c>
      <c r="AJ26" s="21">
        <f t="shared" si="96"/>
        <v>0</v>
      </c>
      <c r="AK26" s="21">
        <f t="shared" si="96"/>
        <v>0</v>
      </c>
      <c r="AL26" s="21">
        <f t="shared" si="96"/>
        <v>0</v>
      </c>
    </row>
    <row r="27" ht="14.25" customHeight="1">
      <c r="B27" s="33" t="s">
        <v>46</v>
      </c>
      <c r="C27" s="25">
        <v>0.0</v>
      </c>
      <c r="D27" s="25">
        <v>0.0</v>
      </c>
      <c r="E27" s="25">
        <v>0.0</v>
      </c>
      <c r="F27" s="25">
        <v>0.0</v>
      </c>
      <c r="G27" s="25">
        <v>0.0</v>
      </c>
      <c r="H27" s="25">
        <v>1.0</v>
      </c>
      <c r="I27" s="25">
        <v>0.0</v>
      </c>
      <c r="J27" s="20">
        <f t="shared" ref="J27:P27" si="97">C27/C$56</f>
        <v>0</v>
      </c>
      <c r="K27" s="20">
        <f t="shared" si="97"/>
        <v>0</v>
      </c>
      <c r="L27" s="20">
        <f t="shared" si="97"/>
        <v>0</v>
      </c>
      <c r="M27" s="20">
        <f t="shared" si="97"/>
        <v>0</v>
      </c>
      <c r="N27" s="20">
        <f t="shared" si="97"/>
        <v>0</v>
      </c>
      <c r="O27" s="20">
        <f t="shared" si="97"/>
        <v>0.04761904762</v>
      </c>
      <c r="P27" s="20">
        <f t="shared" si="97"/>
        <v>0</v>
      </c>
      <c r="Q27" s="20">
        <f t="shared" si="7"/>
        <v>1</v>
      </c>
      <c r="R27" s="20">
        <f t="shared" si="8"/>
        <v>2.386294361</v>
      </c>
      <c r="S27" s="20">
        <f t="shared" ref="S27:Y27" si="98">J27*$R27</f>
        <v>0</v>
      </c>
      <c r="T27" s="20">
        <f t="shared" si="98"/>
        <v>0</v>
      </c>
      <c r="U27" s="20">
        <f t="shared" si="98"/>
        <v>0</v>
      </c>
      <c r="V27" s="20">
        <f t="shared" si="98"/>
        <v>0</v>
      </c>
      <c r="W27" s="20">
        <f t="shared" si="98"/>
        <v>0</v>
      </c>
      <c r="X27" s="20">
        <f t="shared" si="98"/>
        <v>0.1136330648</v>
      </c>
      <c r="Y27" s="20">
        <f t="shared" si="98"/>
        <v>0</v>
      </c>
      <c r="Z27" s="20">
        <f t="shared" ref="Z27:AF27" si="99">S27/S$56</f>
        <v>0</v>
      </c>
      <c r="AA27" s="20">
        <f t="shared" si="99"/>
        <v>0</v>
      </c>
      <c r="AB27" s="20">
        <f t="shared" si="99"/>
        <v>0</v>
      </c>
      <c r="AC27" s="20">
        <f t="shared" si="99"/>
        <v>0</v>
      </c>
      <c r="AD27" s="20">
        <f t="shared" si="99"/>
        <v>0</v>
      </c>
      <c r="AE27" s="20">
        <f t="shared" si="99"/>
        <v>0.1947055662</v>
      </c>
      <c r="AF27" s="20">
        <f t="shared" si="99"/>
        <v>0</v>
      </c>
      <c r="AG27" s="20">
        <f t="shared" ref="AG27:AL27" si="100">Z27*$AF27</f>
        <v>0</v>
      </c>
      <c r="AH27" s="20">
        <f t="shared" si="100"/>
        <v>0</v>
      </c>
      <c r="AI27" s="21">
        <f t="shared" si="100"/>
        <v>0</v>
      </c>
      <c r="AJ27" s="21">
        <f t="shared" si="100"/>
        <v>0</v>
      </c>
      <c r="AK27" s="21">
        <f t="shared" si="100"/>
        <v>0</v>
      </c>
      <c r="AL27" s="21">
        <f t="shared" si="100"/>
        <v>0</v>
      </c>
    </row>
    <row r="28" ht="14.25" customHeight="1">
      <c r="B28" s="33" t="s">
        <v>47</v>
      </c>
      <c r="C28" s="25">
        <v>1.0</v>
      </c>
      <c r="D28" s="25">
        <v>0.0</v>
      </c>
      <c r="E28" s="25">
        <v>0.0</v>
      </c>
      <c r="F28" s="25">
        <v>0.0</v>
      </c>
      <c r="G28" s="25">
        <v>0.0</v>
      </c>
      <c r="H28" s="25">
        <v>0.0</v>
      </c>
      <c r="I28" s="25">
        <v>0.0</v>
      </c>
      <c r="J28" s="20">
        <f t="shared" ref="J28:P28" si="101">C28/C$56</f>
        <v>0.09090909091</v>
      </c>
      <c r="K28" s="20">
        <f t="shared" si="101"/>
        <v>0</v>
      </c>
      <c r="L28" s="20">
        <f t="shared" si="101"/>
        <v>0</v>
      </c>
      <c r="M28" s="20">
        <f t="shared" si="101"/>
        <v>0</v>
      </c>
      <c r="N28" s="20">
        <f t="shared" si="101"/>
        <v>0</v>
      </c>
      <c r="O28" s="20">
        <f t="shared" si="101"/>
        <v>0</v>
      </c>
      <c r="P28" s="20">
        <f t="shared" si="101"/>
        <v>0</v>
      </c>
      <c r="Q28" s="20">
        <f t="shared" si="7"/>
        <v>1</v>
      </c>
      <c r="R28" s="20">
        <f t="shared" si="8"/>
        <v>2.386294361</v>
      </c>
      <c r="S28" s="20">
        <f t="shared" ref="S28:Y28" si="102">J28*$R28</f>
        <v>0.216935851</v>
      </c>
      <c r="T28" s="20">
        <f t="shared" si="102"/>
        <v>0</v>
      </c>
      <c r="U28" s="20">
        <f t="shared" si="102"/>
        <v>0</v>
      </c>
      <c r="V28" s="20">
        <f t="shared" si="102"/>
        <v>0</v>
      </c>
      <c r="W28" s="20">
        <f t="shared" si="102"/>
        <v>0</v>
      </c>
      <c r="X28" s="20">
        <f t="shared" si="102"/>
        <v>0</v>
      </c>
      <c r="Y28" s="20">
        <f t="shared" si="102"/>
        <v>0</v>
      </c>
      <c r="Z28" s="20">
        <f t="shared" ref="Z28:AF28" si="103">S28/S$56</f>
        <v>0.3095415794</v>
      </c>
      <c r="AA28" s="20">
        <f t="shared" si="103"/>
        <v>0</v>
      </c>
      <c r="AB28" s="20">
        <f t="shared" si="103"/>
        <v>0</v>
      </c>
      <c r="AC28" s="20">
        <f t="shared" si="103"/>
        <v>0</v>
      </c>
      <c r="AD28" s="20">
        <f t="shared" si="103"/>
        <v>0</v>
      </c>
      <c r="AE28" s="20">
        <f t="shared" si="103"/>
        <v>0</v>
      </c>
      <c r="AF28" s="20">
        <f t="shared" si="103"/>
        <v>0</v>
      </c>
      <c r="AG28" s="20">
        <f t="shared" ref="AG28:AL28" si="104">Z28*$AF28</f>
        <v>0</v>
      </c>
      <c r="AH28" s="20">
        <f t="shared" si="104"/>
        <v>0</v>
      </c>
      <c r="AI28" s="21">
        <f t="shared" si="104"/>
        <v>0</v>
      </c>
      <c r="AJ28" s="21">
        <f t="shared" si="104"/>
        <v>0</v>
      </c>
      <c r="AK28" s="21">
        <f t="shared" si="104"/>
        <v>0</v>
      </c>
      <c r="AL28" s="21">
        <f t="shared" si="104"/>
        <v>0</v>
      </c>
    </row>
    <row r="29" ht="14.25" customHeight="1">
      <c r="B29" s="33" t="s">
        <v>48</v>
      </c>
      <c r="C29" s="25">
        <v>0.0</v>
      </c>
      <c r="D29" s="25">
        <v>0.0</v>
      </c>
      <c r="E29" s="25">
        <v>0.0</v>
      </c>
      <c r="F29" s="25">
        <v>0.0</v>
      </c>
      <c r="G29" s="25">
        <v>1.0</v>
      </c>
      <c r="H29" s="25">
        <v>0.0</v>
      </c>
      <c r="I29" s="25">
        <v>0.0</v>
      </c>
      <c r="J29" s="20">
        <f t="shared" ref="J29:P29" si="105">C29/C$56</f>
        <v>0</v>
      </c>
      <c r="K29" s="20">
        <f t="shared" si="105"/>
        <v>0</v>
      </c>
      <c r="L29" s="20">
        <f t="shared" si="105"/>
        <v>0</v>
      </c>
      <c r="M29" s="20">
        <f t="shared" si="105"/>
        <v>0</v>
      </c>
      <c r="N29" s="20">
        <f t="shared" si="105"/>
        <v>0.06666666667</v>
      </c>
      <c r="O29" s="20">
        <f t="shared" si="105"/>
        <v>0</v>
      </c>
      <c r="P29" s="20">
        <f t="shared" si="105"/>
        <v>0</v>
      </c>
      <c r="Q29" s="20">
        <f t="shared" si="7"/>
        <v>1</v>
      </c>
      <c r="R29" s="20">
        <f t="shared" si="8"/>
        <v>2.386294361</v>
      </c>
      <c r="S29" s="20">
        <f t="shared" ref="S29:Y29" si="106">J29*$R29</f>
        <v>0</v>
      </c>
      <c r="T29" s="20">
        <f t="shared" si="106"/>
        <v>0</v>
      </c>
      <c r="U29" s="20">
        <f t="shared" si="106"/>
        <v>0</v>
      </c>
      <c r="V29" s="20">
        <f t="shared" si="106"/>
        <v>0</v>
      </c>
      <c r="W29" s="20">
        <f t="shared" si="106"/>
        <v>0.1590862907</v>
      </c>
      <c r="X29" s="20">
        <f t="shared" si="106"/>
        <v>0</v>
      </c>
      <c r="Y29" s="20">
        <f t="shared" si="106"/>
        <v>0</v>
      </c>
      <c r="Z29" s="20">
        <f t="shared" ref="Z29:AF29" si="107">S29/S$56</f>
        <v>0</v>
      </c>
      <c r="AA29" s="20">
        <f t="shared" si="107"/>
        <v>0</v>
      </c>
      <c r="AB29" s="20">
        <f t="shared" si="107"/>
        <v>0</v>
      </c>
      <c r="AC29" s="20">
        <f t="shared" si="107"/>
        <v>0</v>
      </c>
      <c r="AD29" s="20">
        <f t="shared" si="107"/>
        <v>0.272705335</v>
      </c>
      <c r="AE29" s="20">
        <f t="shared" si="107"/>
        <v>0</v>
      </c>
      <c r="AF29" s="20">
        <f t="shared" si="107"/>
        <v>0</v>
      </c>
      <c r="AG29" s="20">
        <f t="shared" ref="AG29:AL29" si="108">Z29*$AF29</f>
        <v>0</v>
      </c>
      <c r="AH29" s="20">
        <f t="shared" si="108"/>
        <v>0</v>
      </c>
      <c r="AI29" s="21">
        <f t="shared" si="108"/>
        <v>0</v>
      </c>
      <c r="AJ29" s="21">
        <f t="shared" si="108"/>
        <v>0</v>
      </c>
      <c r="AK29" s="21">
        <f t="shared" si="108"/>
        <v>0</v>
      </c>
      <c r="AL29" s="21">
        <f t="shared" si="108"/>
        <v>0</v>
      </c>
    </row>
    <row r="30" ht="14.25" customHeight="1">
      <c r="B30" s="33" t="s">
        <v>49</v>
      </c>
      <c r="C30" s="25">
        <v>0.0</v>
      </c>
      <c r="D30" s="25">
        <v>0.0</v>
      </c>
      <c r="E30" s="25">
        <v>2.0</v>
      </c>
      <c r="F30" s="25">
        <v>0.0</v>
      </c>
      <c r="G30" s="25">
        <v>0.0</v>
      </c>
      <c r="H30" s="25">
        <v>0.0</v>
      </c>
      <c r="I30" s="25">
        <v>0.0</v>
      </c>
      <c r="J30" s="20">
        <f t="shared" ref="J30:P30" si="109">C30/C$56</f>
        <v>0</v>
      </c>
      <c r="K30" s="20">
        <f t="shared" si="109"/>
        <v>0</v>
      </c>
      <c r="L30" s="20">
        <f t="shared" si="109"/>
        <v>0.25</v>
      </c>
      <c r="M30" s="20">
        <f t="shared" si="109"/>
        <v>0</v>
      </c>
      <c r="N30" s="20">
        <f t="shared" si="109"/>
        <v>0</v>
      </c>
      <c r="O30" s="20">
        <f t="shared" si="109"/>
        <v>0</v>
      </c>
      <c r="P30" s="20">
        <f t="shared" si="109"/>
        <v>0</v>
      </c>
      <c r="Q30" s="20">
        <f t="shared" si="7"/>
        <v>1</v>
      </c>
      <c r="R30" s="20">
        <f t="shared" si="8"/>
        <v>2.386294361</v>
      </c>
      <c r="S30" s="20">
        <f t="shared" ref="S30:Y30" si="110">J30*$R30</f>
        <v>0</v>
      </c>
      <c r="T30" s="20">
        <f t="shared" si="110"/>
        <v>0</v>
      </c>
      <c r="U30" s="20">
        <f t="shared" si="110"/>
        <v>0.5965735903</v>
      </c>
      <c r="V30" s="20">
        <f t="shared" si="110"/>
        <v>0</v>
      </c>
      <c r="W30" s="20">
        <f t="shared" si="110"/>
        <v>0</v>
      </c>
      <c r="X30" s="20">
        <f t="shared" si="110"/>
        <v>0</v>
      </c>
      <c r="Y30" s="20">
        <f t="shared" si="110"/>
        <v>0</v>
      </c>
      <c r="Z30" s="20">
        <f t="shared" ref="Z30:AF30" si="111">S30/S$56</f>
        <v>0</v>
      </c>
      <c r="AA30" s="20">
        <f t="shared" si="111"/>
        <v>0</v>
      </c>
      <c r="AB30" s="20">
        <f t="shared" si="111"/>
        <v>0.6900313792</v>
      </c>
      <c r="AC30" s="20">
        <f t="shared" si="111"/>
        <v>0</v>
      </c>
      <c r="AD30" s="20">
        <f t="shared" si="111"/>
        <v>0</v>
      </c>
      <c r="AE30" s="20">
        <f t="shared" si="111"/>
        <v>0</v>
      </c>
      <c r="AF30" s="20">
        <f t="shared" si="111"/>
        <v>0</v>
      </c>
      <c r="AG30" s="20">
        <f t="shared" ref="AG30:AL30" si="112">Z30*$AF30</f>
        <v>0</v>
      </c>
      <c r="AH30" s="20">
        <f t="shared" si="112"/>
        <v>0</v>
      </c>
      <c r="AI30" s="21">
        <f t="shared" si="112"/>
        <v>0</v>
      </c>
      <c r="AJ30" s="21">
        <f t="shared" si="112"/>
        <v>0</v>
      </c>
      <c r="AK30" s="21">
        <f t="shared" si="112"/>
        <v>0</v>
      </c>
      <c r="AL30" s="21">
        <f t="shared" si="112"/>
        <v>0</v>
      </c>
    </row>
    <row r="31" ht="14.25" customHeight="1">
      <c r="B31" s="33" t="s">
        <v>50</v>
      </c>
      <c r="C31" s="25">
        <v>0.0</v>
      </c>
      <c r="D31" s="25">
        <v>1.0</v>
      </c>
      <c r="E31" s="25">
        <v>0.0</v>
      </c>
      <c r="F31" s="25">
        <v>1.0</v>
      </c>
      <c r="G31" s="25">
        <v>1.0</v>
      </c>
      <c r="H31" s="25">
        <v>0.0</v>
      </c>
      <c r="I31" s="25">
        <v>1.0</v>
      </c>
      <c r="J31" s="20">
        <f t="shared" ref="J31:P31" si="113">C31/C$56</f>
        <v>0</v>
      </c>
      <c r="K31" s="20">
        <f t="shared" si="113"/>
        <v>0.125</v>
      </c>
      <c r="L31" s="20">
        <f t="shared" si="113"/>
        <v>0</v>
      </c>
      <c r="M31" s="20">
        <f t="shared" si="113"/>
        <v>0.1</v>
      </c>
      <c r="N31" s="20">
        <f t="shared" si="113"/>
        <v>0.06666666667</v>
      </c>
      <c r="O31" s="20">
        <f t="shared" si="113"/>
        <v>0</v>
      </c>
      <c r="P31" s="20">
        <f t="shared" si="113"/>
        <v>0.3333333333</v>
      </c>
      <c r="Q31" s="20">
        <f t="shared" si="7"/>
        <v>4</v>
      </c>
      <c r="R31" s="20">
        <f t="shared" si="8"/>
        <v>1.470003629</v>
      </c>
      <c r="S31" s="20">
        <f t="shared" ref="S31:Y31" si="114">J31*$R31</f>
        <v>0</v>
      </c>
      <c r="T31" s="20">
        <f t="shared" si="114"/>
        <v>0.1837504537</v>
      </c>
      <c r="U31" s="20">
        <f t="shared" si="114"/>
        <v>0</v>
      </c>
      <c r="V31" s="20">
        <f t="shared" si="114"/>
        <v>0.1470003629</v>
      </c>
      <c r="W31" s="20">
        <f t="shared" si="114"/>
        <v>0.09800024195</v>
      </c>
      <c r="X31" s="20">
        <f t="shared" si="114"/>
        <v>0</v>
      </c>
      <c r="Y31" s="20">
        <f t="shared" si="114"/>
        <v>0.4900012097</v>
      </c>
      <c r="Z31" s="20">
        <f t="shared" ref="Z31:AF31" si="115">S31/S$56</f>
        <v>0</v>
      </c>
      <c r="AA31" s="20">
        <f t="shared" si="115"/>
        <v>0.2668047241</v>
      </c>
      <c r="AB31" s="20">
        <f t="shared" si="115"/>
        <v>0</v>
      </c>
      <c r="AC31" s="20">
        <f t="shared" si="115"/>
        <v>0.1758627183</v>
      </c>
      <c r="AD31" s="20">
        <f t="shared" si="115"/>
        <v>0.1679917778</v>
      </c>
      <c r="AE31" s="20">
        <f t="shared" si="115"/>
        <v>0</v>
      </c>
      <c r="AF31" s="20">
        <f t="shared" si="115"/>
        <v>0.5773502692</v>
      </c>
      <c r="AG31" s="20">
        <f t="shared" ref="AG31:AL31" si="116">Z31*$AF31</f>
        <v>0</v>
      </c>
      <c r="AH31" s="20">
        <f t="shared" si="116"/>
        <v>0.1540397793</v>
      </c>
      <c r="AI31" s="21">
        <f t="shared" si="116"/>
        <v>0</v>
      </c>
      <c r="AJ31" s="21">
        <f t="shared" si="116"/>
        <v>0.1015343877</v>
      </c>
      <c r="AK31" s="21">
        <f t="shared" si="116"/>
        <v>0.09699009814</v>
      </c>
      <c r="AL31" s="21">
        <f t="shared" si="116"/>
        <v>0</v>
      </c>
    </row>
    <row r="32" ht="14.25" customHeight="1">
      <c r="B32" s="33" t="s">
        <v>51</v>
      </c>
      <c r="C32" s="25">
        <v>0.0</v>
      </c>
      <c r="D32" s="25">
        <v>0.0</v>
      </c>
      <c r="E32" s="25">
        <v>0.0</v>
      </c>
      <c r="F32" s="25">
        <v>0.0</v>
      </c>
      <c r="G32" s="25">
        <v>0.0</v>
      </c>
      <c r="H32" s="25">
        <v>1.0</v>
      </c>
      <c r="I32" s="25">
        <v>0.0</v>
      </c>
      <c r="J32" s="20">
        <f t="shared" ref="J32:P32" si="117">C32/C$56</f>
        <v>0</v>
      </c>
      <c r="K32" s="20">
        <f t="shared" si="117"/>
        <v>0</v>
      </c>
      <c r="L32" s="20">
        <f t="shared" si="117"/>
        <v>0</v>
      </c>
      <c r="M32" s="20">
        <f t="shared" si="117"/>
        <v>0</v>
      </c>
      <c r="N32" s="20">
        <f t="shared" si="117"/>
        <v>0</v>
      </c>
      <c r="O32" s="20">
        <f t="shared" si="117"/>
        <v>0.04761904762</v>
      </c>
      <c r="P32" s="20">
        <f t="shared" si="117"/>
        <v>0</v>
      </c>
      <c r="Q32" s="20">
        <f t="shared" si="7"/>
        <v>1</v>
      </c>
      <c r="R32" s="20">
        <f t="shared" si="8"/>
        <v>2.386294361</v>
      </c>
      <c r="S32" s="20">
        <f t="shared" ref="S32:Y32" si="118">J32*$R32</f>
        <v>0</v>
      </c>
      <c r="T32" s="20">
        <f t="shared" si="118"/>
        <v>0</v>
      </c>
      <c r="U32" s="20">
        <f t="shared" si="118"/>
        <v>0</v>
      </c>
      <c r="V32" s="20">
        <f t="shared" si="118"/>
        <v>0</v>
      </c>
      <c r="W32" s="20">
        <f t="shared" si="118"/>
        <v>0</v>
      </c>
      <c r="X32" s="20">
        <f t="shared" si="118"/>
        <v>0.1136330648</v>
      </c>
      <c r="Y32" s="20">
        <f t="shared" si="118"/>
        <v>0</v>
      </c>
      <c r="Z32" s="20">
        <f t="shared" ref="Z32:AF32" si="119">S32/S$56</f>
        <v>0</v>
      </c>
      <c r="AA32" s="20">
        <f t="shared" si="119"/>
        <v>0</v>
      </c>
      <c r="AB32" s="20">
        <f t="shared" si="119"/>
        <v>0</v>
      </c>
      <c r="AC32" s="20">
        <f t="shared" si="119"/>
        <v>0</v>
      </c>
      <c r="AD32" s="20">
        <f t="shared" si="119"/>
        <v>0</v>
      </c>
      <c r="AE32" s="20">
        <f t="shared" si="119"/>
        <v>0.1947055662</v>
      </c>
      <c r="AF32" s="20">
        <f t="shared" si="119"/>
        <v>0</v>
      </c>
      <c r="AG32" s="20">
        <f t="shared" ref="AG32:AL32" si="120">Z32*$AF32</f>
        <v>0</v>
      </c>
      <c r="AH32" s="20">
        <f t="shared" si="120"/>
        <v>0</v>
      </c>
      <c r="AI32" s="21">
        <f t="shared" si="120"/>
        <v>0</v>
      </c>
      <c r="AJ32" s="21">
        <f t="shared" si="120"/>
        <v>0</v>
      </c>
      <c r="AK32" s="21">
        <f t="shared" si="120"/>
        <v>0</v>
      </c>
      <c r="AL32" s="21">
        <f t="shared" si="120"/>
        <v>0</v>
      </c>
    </row>
    <row r="33" ht="14.25" customHeight="1">
      <c r="B33" s="33" t="s">
        <v>52</v>
      </c>
      <c r="C33" s="25">
        <v>0.0</v>
      </c>
      <c r="D33" s="25">
        <v>0.0</v>
      </c>
      <c r="E33" s="25">
        <v>0.0</v>
      </c>
      <c r="F33" s="25">
        <v>0.0</v>
      </c>
      <c r="G33" s="25">
        <v>1.0</v>
      </c>
      <c r="H33" s="25">
        <v>0.0</v>
      </c>
      <c r="I33" s="25">
        <v>0.0</v>
      </c>
      <c r="J33" s="20">
        <f t="shared" ref="J33:P33" si="121">C33/C$56</f>
        <v>0</v>
      </c>
      <c r="K33" s="20">
        <f t="shared" si="121"/>
        <v>0</v>
      </c>
      <c r="L33" s="20">
        <f t="shared" si="121"/>
        <v>0</v>
      </c>
      <c r="M33" s="20">
        <f t="shared" si="121"/>
        <v>0</v>
      </c>
      <c r="N33" s="20">
        <f t="shared" si="121"/>
        <v>0.06666666667</v>
      </c>
      <c r="O33" s="20">
        <f t="shared" si="121"/>
        <v>0</v>
      </c>
      <c r="P33" s="20">
        <f t="shared" si="121"/>
        <v>0</v>
      </c>
      <c r="Q33" s="20">
        <f t="shared" si="7"/>
        <v>1</v>
      </c>
      <c r="R33" s="20">
        <f t="shared" si="8"/>
        <v>2.386294361</v>
      </c>
      <c r="S33" s="20">
        <f t="shared" ref="S33:Y33" si="122">J33*$R33</f>
        <v>0</v>
      </c>
      <c r="T33" s="20">
        <f t="shared" si="122"/>
        <v>0</v>
      </c>
      <c r="U33" s="20">
        <f t="shared" si="122"/>
        <v>0</v>
      </c>
      <c r="V33" s="20">
        <f t="shared" si="122"/>
        <v>0</v>
      </c>
      <c r="W33" s="20">
        <f t="shared" si="122"/>
        <v>0.1590862907</v>
      </c>
      <c r="X33" s="20">
        <f t="shared" si="122"/>
        <v>0</v>
      </c>
      <c r="Y33" s="20">
        <f t="shared" si="122"/>
        <v>0</v>
      </c>
      <c r="Z33" s="20">
        <f t="shared" ref="Z33:AF33" si="123">S33/S$56</f>
        <v>0</v>
      </c>
      <c r="AA33" s="20">
        <f t="shared" si="123"/>
        <v>0</v>
      </c>
      <c r="AB33" s="20">
        <f t="shared" si="123"/>
        <v>0</v>
      </c>
      <c r="AC33" s="20">
        <f t="shared" si="123"/>
        <v>0</v>
      </c>
      <c r="AD33" s="20">
        <f t="shared" si="123"/>
        <v>0.272705335</v>
      </c>
      <c r="AE33" s="20">
        <f t="shared" si="123"/>
        <v>0</v>
      </c>
      <c r="AF33" s="20">
        <f t="shared" si="123"/>
        <v>0</v>
      </c>
      <c r="AG33" s="20">
        <f t="shared" ref="AG33:AL33" si="124">Z33*$AF33</f>
        <v>0</v>
      </c>
      <c r="AH33" s="20">
        <f t="shared" si="124"/>
        <v>0</v>
      </c>
      <c r="AI33" s="21">
        <f t="shared" si="124"/>
        <v>0</v>
      </c>
      <c r="AJ33" s="21">
        <f t="shared" si="124"/>
        <v>0</v>
      </c>
      <c r="AK33" s="21">
        <f t="shared" si="124"/>
        <v>0</v>
      </c>
      <c r="AL33" s="21">
        <f t="shared" si="124"/>
        <v>0</v>
      </c>
    </row>
    <row r="34" ht="14.25" customHeight="1">
      <c r="B34" s="33" t="s">
        <v>53</v>
      </c>
      <c r="C34" s="25">
        <v>0.0</v>
      </c>
      <c r="D34" s="25">
        <v>0.0</v>
      </c>
      <c r="E34" s="25">
        <v>0.0</v>
      </c>
      <c r="F34" s="25">
        <v>0.0</v>
      </c>
      <c r="G34" s="25">
        <v>1.0</v>
      </c>
      <c r="H34" s="25">
        <v>0.0</v>
      </c>
      <c r="I34" s="25">
        <v>0.0</v>
      </c>
      <c r="J34" s="20">
        <f t="shared" ref="J34:P34" si="125">C34/C$56</f>
        <v>0</v>
      </c>
      <c r="K34" s="20">
        <f t="shared" si="125"/>
        <v>0</v>
      </c>
      <c r="L34" s="20">
        <f t="shared" si="125"/>
        <v>0</v>
      </c>
      <c r="M34" s="20">
        <f t="shared" si="125"/>
        <v>0</v>
      </c>
      <c r="N34" s="20">
        <f t="shared" si="125"/>
        <v>0.06666666667</v>
      </c>
      <c r="O34" s="20">
        <f t="shared" si="125"/>
        <v>0</v>
      </c>
      <c r="P34" s="20">
        <f t="shared" si="125"/>
        <v>0</v>
      </c>
      <c r="Q34" s="20">
        <f t="shared" si="7"/>
        <v>1</v>
      </c>
      <c r="R34" s="20">
        <f t="shared" si="8"/>
        <v>2.386294361</v>
      </c>
      <c r="S34" s="20">
        <f t="shared" ref="S34:Y34" si="126">J34*$R34</f>
        <v>0</v>
      </c>
      <c r="T34" s="20">
        <f t="shared" si="126"/>
        <v>0</v>
      </c>
      <c r="U34" s="20">
        <f t="shared" si="126"/>
        <v>0</v>
      </c>
      <c r="V34" s="20">
        <f t="shared" si="126"/>
        <v>0</v>
      </c>
      <c r="W34" s="20">
        <f t="shared" si="126"/>
        <v>0.1590862907</v>
      </c>
      <c r="X34" s="20">
        <f t="shared" si="126"/>
        <v>0</v>
      </c>
      <c r="Y34" s="20">
        <f t="shared" si="126"/>
        <v>0</v>
      </c>
      <c r="Z34" s="20">
        <f t="shared" ref="Z34:AF34" si="127">S34/S$56</f>
        <v>0</v>
      </c>
      <c r="AA34" s="20">
        <f t="shared" si="127"/>
        <v>0</v>
      </c>
      <c r="AB34" s="20">
        <f t="shared" si="127"/>
        <v>0</v>
      </c>
      <c r="AC34" s="20">
        <f t="shared" si="127"/>
        <v>0</v>
      </c>
      <c r="AD34" s="20">
        <f t="shared" si="127"/>
        <v>0.272705335</v>
      </c>
      <c r="AE34" s="20">
        <f t="shared" si="127"/>
        <v>0</v>
      </c>
      <c r="AF34" s="20">
        <f t="shared" si="127"/>
        <v>0</v>
      </c>
      <c r="AG34" s="20">
        <f t="shared" ref="AG34:AL34" si="128">Z34*$AF34</f>
        <v>0</v>
      </c>
      <c r="AH34" s="20">
        <f t="shared" si="128"/>
        <v>0</v>
      </c>
      <c r="AI34" s="21">
        <f t="shared" si="128"/>
        <v>0</v>
      </c>
      <c r="AJ34" s="21">
        <f t="shared" si="128"/>
        <v>0</v>
      </c>
      <c r="AK34" s="21">
        <f t="shared" si="128"/>
        <v>0</v>
      </c>
      <c r="AL34" s="21">
        <f t="shared" si="128"/>
        <v>0</v>
      </c>
    </row>
    <row r="35" ht="14.25" customHeight="1">
      <c r="B35" s="33" t="s">
        <v>54</v>
      </c>
      <c r="C35" s="25">
        <v>0.0</v>
      </c>
      <c r="D35" s="25">
        <v>1.0</v>
      </c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0">
        <f t="shared" ref="J35:P35" si="129">C35/C$56</f>
        <v>0</v>
      </c>
      <c r="K35" s="20">
        <f t="shared" si="129"/>
        <v>0.125</v>
      </c>
      <c r="L35" s="20">
        <f t="shared" si="129"/>
        <v>0</v>
      </c>
      <c r="M35" s="20">
        <f t="shared" si="129"/>
        <v>0</v>
      </c>
      <c r="N35" s="20">
        <f t="shared" si="129"/>
        <v>0</v>
      </c>
      <c r="O35" s="20">
        <f t="shared" si="129"/>
        <v>0</v>
      </c>
      <c r="P35" s="20">
        <f t="shared" si="129"/>
        <v>0</v>
      </c>
      <c r="Q35" s="20">
        <f t="shared" si="7"/>
        <v>1</v>
      </c>
      <c r="R35" s="20">
        <f t="shared" si="8"/>
        <v>2.386294361</v>
      </c>
      <c r="S35" s="20">
        <f t="shared" ref="S35:Y35" si="130">J35*$R35</f>
        <v>0</v>
      </c>
      <c r="T35" s="20">
        <f t="shared" si="130"/>
        <v>0.2982867951</v>
      </c>
      <c r="U35" s="20">
        <f t="shared" si="130"/>
        <v>0</v>
      </c>
      <c r="V35" s="20">
        <f t="shared" si="130"/>
        <v>0</v>
      </c>
      <c r="W35" s="20">
        <f t="shared" si="130"/>
        <v>0</v>
      </c>
      <c r="X35" s="20">
        <f t="shared" si="130"/>
        <v>0</v>
      </c>
      <c r="Y35" s="20">
        <f t="shared" si="130"/>
        <v>0</v>
      </c>
      <c r="Z35" s="20">
        <f t="shared" ref="Z35:AF35" si="131">S35/S$56</f>
        <v>0</v>
      </c>
      <c r="AA35" s="20">
        <f t="shared" si="131"/>
        <v>0.4331109093</v>
      </c>
      <c r="AB35" s="20">
        <f t="shared" si="131"/>
        <v>0</v>
      </c>
      <c r="AC35" s="20">
        <f t="shared" si="131"/>
        <v>0</v>
      </c>
      <c r="AD35" s="20">
        <f t="shared" si="131"/>
        <v>0</v>
      </c>
      <c r="AE35" s="20">
        <f t="shared" si="131"/>
        <v>0</v>
      </c>
      <c r="AF35" s="20">
        <f t="shared" si="131"/>
        <v>0</v>
      </c>
      <c r="AG35" s="20">
        <f t="shared" ref="AG35:AL35" si="132">Z35*$AF35</f>
        <v>0</v>
      </c>
      <c r="AH35" s="20">
        <f t="shared" si="132"/>
        <v>0</v>
      </c>
      <c r="AI35" s="21">
        <f t="shared" si="132"/>
        <v>0</v>
      </c>
      <c r="AJ35" s="21">
        <f t="shared" si="132"/>
        <v>0</v>
      </c>
      <c r="AK35" s="21">
        <f t="shared" si="132"/>
        <v>0</v>
      </c>
      <c r="AL35" s="21">
        <f t="shared" si="132"/>
        <v>0</v>
      </c>
    </row>
    <row r="36" ht="14.25" customHeight="1">
      <c r="B36" s="33" t="s">
        <v>55</v>
      </c>
      <c r="C36" s="25">
        <v>0.0</v>
      </c>
      <c r="D36" s="25">
        <v>1.0</v>
      </c>
      <c r="E36" s="25">
        <v>0.0</v>
      </c>
      <c r="F36" s="25">
        <v>0.0</v>
      </c>
      <c r="G36" s="25">
        <v>0.0</v>
      </c>
      <c r="H36" s="25">
        <v>0.0</v>
      </c>
      <c r="I36" s="25">
        <v>0.0</v>
      </c>
      <c r="J36" s="20">
        <f t="shared" ref="J36:P36" si="133">C36/C$56</f>
        <v>0</v>
      </c>
      <c r="K36" s="20">
        <f t="shared" si="133"/>
        <v>0.125</v>
      </c>
      <c r="L36" s="20">
        <f t="shared" si="133"/>
        <v>0</v>
      </c>
      <c r="M36" s="20">
        <f t="shared" si="133"/>
        <v>0</v>
      </c>
      <c r="N36" s="20">
        <f t="shared" si="133"/>
        <v>0</v>
      </c>
      <c r="O36" s="20">
        <f t="shared" si="133"/>
        <v>0</v>
      </c>
      <c r="P36" s="20">
        <f t="shared" si="133"/>
        <v>0</v>
      </c>
      <c r="Q36" s="20">
        <f t="shared" si="7"/>
        <v>1</v>
      </c>
      <c r="R36" s="20">
        <f t="shared" si="8"/>
        <v>2.386294361</v>
      </c>
      <c r="S36" s="20">
        <f t="shared" ref="S36:Y36" si="134">J36*$R36</f>
        <v>0</v>
      </c>
      <c r="T36" s="20">
        <f t="shared" si="134"/>
        <v>0.2982867951</v>
      </c>
      <c r="U36" s="20">
        <f t="shared" si="134"/>
        <v>0</v>
      </c>
      <c r="V36" s="20">
        <f t="shared" si="134"/>
        <v>0</v>
      </c>
      <c r="W36" s="20">
        <f t="shared" si="134"/>
        <v>0</v>
      </c>
      <c r="X36" s="20">
        <f t="shared" si="134"/>
        <v>0</v>
      </c>
      <c r="Y36" s="20">
        <f t="shared" si="134"/>
        <v>0</v>
      </c>
      <c r="Z36" s="20">
        <f t="shared" ref="Z36:AF36" si="135">S36/S$56</f>
        <v>0</v>
      </c>
      <c r="AA36" s="20">
        <f t="shared" si="135"/>
        <v>0.4331109093</v>
      </c>
      <c r="AB36" s="20">
        <f t="shared" si="135"/>
        <v>0</v>
      </c>
      <c r="AC36" s="20">
        <f t="shared" si="135"/>
        <v>0</v>
      </c>
      <c r="AD36" s="20">
        <f t="shared" si="135"/>
        <v>0</v>
      </c>
      <c r="AE36" s="20">
        <f t="shared" si="135"/>
        <v>0</v>
      </c>
      <c r="AF36" s="20">
        <f t="shared" si="135"/>
        <v>0</v>
      </c>
      <c r="AG36" s="20">
        <f t="shared" ref="AG36:AL36" si="136">Z36*$AF36</f>
        <v>0</v>
      </c>
      <c r="AH36" s="20">
        <f t="shared" si="136"/>
        <v>0</v>
      </c>
      <c r="AI36" s="21">
        <f t="shared" si="136"/>
        <v>0</v>
      </c>
      <c r="AJ36" s="21">
        <f t="shared" si="136"/>
        <v>0</v>
      </c>
      <c r="AK36" s="21">
        <f t="shared" si="136"/>
        <v>0</v>
      </c>
      <c r="AL36" s="21">
        <f t="shared" si="136"/>
        <v>0</v>
      </c>
    </row>
    <row r="37" ht="14.25" customHeight="1">
      <c r="B37" s="33" t="s">
        <v>56</v>
      </c>
      <c r="C37" s="25">
        <v>0.0</v>
      </c>
      <c r="D37" s="25">
        <v>0.0</v>
      </c>
      <c r="E37" s="25">
        <v>0.0</v>
      </c>
      <c r="F37" s="25">
        <v>0.0</v>
      </c>
      <c r="G37" s="25">
        <v>1.0</v>
      </c>
      <c r="H37" s="25">
        <v>0.0</v>
      </c>
      <c r="I37" s="25">
        <v>0.0</v>
      </c>
      <c r="J37" s="20">
        <f t="shared" ref="J37:P37" si="137">C37/C$56</f>
        <v>0</v>
      </c>
      <c r="K37" s="20">
        <f t="shared" si="137"/>
        <v>0</v>
      </c>
      <c r="L37" s="20">
        <f t="shared" si="137"/>
        <v>0</v>
      </c>
      <c r="M37" s="20">
        <f t="shared" si="137"/>
        <v>0</v>
      </c>
      <c r="N37" s="20">
        <f t="shared" si="137"/>
        <v>0.06666666667</v>
      </c>
      <c r="O37" s="20">
        <f t="shared" si="137"/>
        <v>0</v>
      </c>
      <c r="P37" s="20">
        <f t="shared" si="137"/>
        <v>0</v>
      </c>
      <c r="Q37" s="20">
        <f t="shared" si="7"/>
        <v>1</v>
      </c>
      <c r="R37" s="20">
        <f t="shared" si="8"/>
        <v>2.386294361</v>
      </c>
      <c r="S37" s="20">
        <f t="shared" ref="S37:Y37" si="138">J37*$R37</f>
        <v>0</v>
      </c>
      <c r="T37" s="20">
        <f t="shared" si="138"/>
        <v>0</v>
      </c>
      <c r="U37" s="20">
        <f t="shared" si="138"/>
        <v>0</v>
      </c>
      <c r="V37" s="20">
        <f t="shared" si="138"/>
        <v>0</v>
      </c>
      <c r="W37" s="20">
        <f t="shared" si="138"/>
        <v>0.1590862907</v>
      </c>
      <c r="X37" s="20">
        <f t="shared" si="138"/>
        <v>0</v>
      </c>
      <c r="Y37" s="20">
        <f t="shared" si="138"/>
        <v>0</v>
      </c>
      <c r="Z37" s="20">
        <f t="shared" ref="Z37:AF37" si="139">S37/S$56</f>
        <v>0</v>
      </c>
      <c r="AA37" s="20">
        <f t="shared" si="139"/>
        <v>0</v>
      </c>
      <c r="AB37" s="20">
        <f t="shared" si="139"/>
        <v>0</v>
      </c>
      <c r="AC37" s="20">
        <f t="shared" si="139"/>
        <v>0</v>
      </c>
      <c r="AD37" s="20">
        <f t="shared" si="139"/>
        <v>0.272705335</v>
      </c>
      <c r="AE37" s="20">
        <f t="shared" si="139"/>
        <v>0</v>
      </c>
      <c r="AF37" s="20">
        <f t="shared" si="139"/>
        <v>0</v>
      </c>
      <c r="AG37" s="20">
        <f t="shared" ref="AG37:AL37" si="140">Z37*$AF37</f>
        <v>0</v>
      </c>
      <c r="AH37" s="20">
        <f t="shared" si="140"/>
        <v>0</v>
      </c>
      <c r="AI37" s="21">
        <f t="shared" si="140"/>
        <v>0</v>
      </c>
      <c r="AJ37" s="21">
        <f t="shared" si="140"/>
        <v>0</v>
      </c>
      <c r="AK37" s="21">
        <f t="shared" si="140"/>
        <v>0</v>
      </c>
      <c r="AL37" s="21">
        <f t="shared" si="140"/>
        <v>0</v>
      </c>
    </row>
    <row r="38" ht="14.25" customHeight="1">
      <c r="B38" s="33" t="s">
        <v>57</v>
      </c>
      <c r="C38" s="25">
        <v>1.0</v>
      </c>
      <c r="D38" s="25">
        <v>0.0</v>
      </c>
      <c r="E38" s="25">
        <v>0.0</v>
      </c>
      <c r="F38" s="25">
        <v>0.0</v>
      </c>
      <c r="G38" s="25">
        <v>0.0</v>
      </c>
      <c r="H38" s="25">
        <v>0.0</v>
      </c>
      <c r="I38" s="25">
        <v>0.0</v>
      </c>
      <c r="J38" s="20">
        <f t="shared" ref="J38:P38" si="141">C38/C$56</f>
        <v>0.09090909091</v>
      </c>
      <c r="K38" s="20">
        <f t="shared" si="141"/>
        <v>0</v>
      </c>
      <c r="L38" s="20">
        <f t="shared" si="141"/>
        <v>0</v>
      </c>
      <c r="M38" s="20">
        <f t="shared" si="141"/>
        <v>0</v>
      </c>
      <c r="N38" s="20">
        <f t="shared" si="141"/>
        <v>0</v>
      </c>
      <c r="O38" s="20">
        <f t="shared" si="141"/>
        <v>0</v>
      </c>
      <c r="P38" s="20">
        <f t="shared" si="141"/>
        <v>0</v>
      </c>
      <c r="Q38" s="20">
        <f t="shared" si="7"/>
        <v>1</v>
      </c>
      <c r="R38" s="20">
        <f t="shared" si="8"/>
        <v>2.386294361</v>
      </c>
      <c r="S38" s="20">
        <f t="shared" ref="S38:Y38" si="142">J38*$R38</f>
        <v>0.216935851</v>
      </c>
      <c r="T38" s="20">
        <f t="shared" si="142"/>
        <v>0</v>
      </c>
      <c r="U38" s="20">
        <f t="shared" si="142"/>
        <v>0</v>
      </c>
      <c r="V38" s="20">
        <f t="shared" si="142"/>
        <v>0</v>
      </c>
      <c r="W38" s="20">
        <f t="shared" si="142"/>
        <v>0</v>
      </c>
      <c r="X38" s="20">
        <f t="shared" si="142"/>
        <v>0</v>
      </c>
      <c r="Y38" s="20">
        <f t="shared" si="142"/>
        <v>0</v>
      </c>
      <c r="Z38" s="20">
        <f t="shared" ref="Z38:AF38" si="143">S38/S$56</f>
        <v>0.3095415794</v>
      </c>
      <c r="AA38" s="20">
        <f t="shared" si="143"/>
        <v>0</v>
      </c>
      <c r="AB38" s="20">
        <f t="shared" si="143"/>
        <v>0</v>
      </c>
      <c r="AC38" s="20">
        <f t="shared" si="143"/>
        <v>0</v>
      </c>
      <c r="AD38" s="20">
        <f t="shared" si="143"/>
        <v>0</v>
      </c>
      <c r="AE38" s="20">
        <f t="shared" si="143"/>
        <v>0</v>
      </c>
      <c r="AF38" s="20">
        <f t="shared" si="143"/>
        <v>0</v>
      </c>
      <c r="AG38" s="20">
        <f t="shared" ref="AG38:AL38" si="144">Z38*$AF38</f>
        <v>0</v>
      </c>
      <c r="AH38" s="20">
        <f t="shared" si="144"/>
        <v>0</v>
      </c>
      <c r="AI38" s="21">
        <f t="shared" si="144"/>
        <v>0</v>
      </c>
      <c r="AJ38" s="21">
        <f t="shared" si="144"/>
        <v>0</v>
      </c>
      <c r="AK38" s="21">
        <f t="shared" si="144"/>
        <v>0</v>
      </c>
      <c r="AL38" s="21">
        <f t="shared" si="144"/>
        <v>0</v>
      </c>
    </row>
    <row r="39" ht="14.25" customHeight="1">
      <c r="B39" s="33" t="s">
        <v>58</v>
      </c>
      <c r="C39" s="25">
        <v>0.0</v>
      </c>
      <c r="D39" s="25">
        <v>0.0</v>
      </c>
      <c r="E39" s="25">
        <v>0.0</v>
      </c>
      <c r="F39" s="25">
        <v>0.0</v>
      </c>
      <c r="G39" s="25">
        <v>0.0</v>
      </c>
      <c r="H39" s="25">
        <v>1.0</v>
      </c>
      <c r="I39" s="25">
        <v>0.0</v>
      </c>
      <c r="J39" s="20">
        <f t="shared" ref="J39:P39" si="145">C39/C$56</f>
        <v>0</v>
      </c>
      <c r="K39" s="20">
        <f t="shared" si="145"/>
        <v>0</v>
      </c>
      <c r="L39" s="20">
        <f t="shared" si="145"/>
        <v>0</v>
      </c>
      <c r="M39" s="20">
        <f t="shared" si="145"/>
        <v>0</v>
      </c>
      <c r="N39" s="20">
        <f t="shared" si="145"/>
        <v>0</v>
      </c>
      <c r="O39" s="20">
        <f t="shared" si="145"/>
        <v>0.04761904762</v>
      </c>
      <c r="P39" s="20">
        <f t="shared" si="145"/>
        <v>0</v>
      </c>
      <c r="Q39" s="20">
        <f t="shared" si="7"/>
        <v>1</v>
      </c>
      <c r="R39" s="20">
        <f t="shared" si="8"/>
        <v>2.386294361</v>
      </c>
      <c r="S39" s="20">
        <f t="shared" ref="S39:Y39" si="146">J39*$R39</f>
        <v>0</v>
      </c>
      <c r="T39" s="20">
        <f t="shared" si="146"/>
        <v>0</v>
      </c>
      <c r="U39" s="20">
        <f t="shared" si="146"/>
        <v>0</v>
      </c>
      <c r="V39" s="20">
        <f t="shared" si="146"/>
        <v>0</v>
      </c>
      <c r="W39" s="20">
        <f t="shared" si="146"/>
        <v>0</v>
      </c>
      <c r="X39" s="20">
        <f t="shared" si="146"/>
        <v>0.1136330648</v>
      </c>
      <c r="Y39" s="20">
        <f t="shared" si="146"/>
        <v>0</v>
      </c>
      <c r="Z39" s="20">
        <f t="shared" ref="Z39:AF39" si="147">S39/S$56</f>
        <v>0</v>
      </c>
      <c r="AA39" s="20">
        <f t="shared" si="147"/>
        <v>0</v>
      </c>
      <c r="AB39" s="20">
        <f t="shared" si="147"/>
        <v>0</v>
      </c>
      <c r="AC39" s="20">
        <f t="shared" si="147"/>
        <v>0</v>
      </c>
      <c r="AD39" s="20">
        <f t="shared" si="147"/>
        <v>0</v>
      </c>
      <c r="AE39" s="20">
        <f t="shared" si="147"/>
        <v>0.1947055662</v>
      </c>
      <c r="AF39" s="20">
        <f t="shared" si="147"/>
        <v>0</v>
      </c>
      <c r="AG39" s="20">
        <f t="shared" ref="AG39:AL39" si="148">Z39*$AF39</f>
        <v>0</v>
      </c>
      <c r="AH39" s="20">
        <f t="shared" si="148"/>
        <v>0</v>
      </c>
      <c r="AI39" s="21">
        <f t="shared" si="148"/>
        <v>0</v>
      </c>
      <c r="AJ39" s="21">
        <f t="shared" si="148"/>
        <v>0</v>
      </c>
      <c r="AK39" s="21">
        <f t="shared" si="148"/>
        <v>0</v>
      </c>
      <c r="AL39" s="21">
        <f t="shared" si="148"/>
        <v>0</v>
      </c>
    </row>
    <row r="40" ht="14.25" customHeight="1">
      <c r="B40" s="33" t="s">
        <v>59</v>
      </c>
      <c r="C40" s="25">
        <v>0.0</v>
      </c>
      <c r="D40" s="25">
        <v>1.0</v>
      </c>
      <c r="E40" s="25">
        <v>0.0</v>
      </c>
      <c r="F40" s="25">
        <v>1.0</v>
      </c>
      <c r="G40" s="25">
        <v>0.0</v>
      </c>
      <c r="H40" s="25">
        <v>0.0</v>
      </c>
      <c r="I40" s="25">
        <v>0.0</v>
      </c>
      <c r="J40" s="20">
        <f t="shared" ref="J40:P40" si="149">C40/C$56</f>
        <v>0</v>
      </c>
      <c r="K40" s="20">
        <f t="shared" si="149"/>
        <v>0.125</v>
      </c>
      <c r="L40" s="20">
        <f t="shared" si="149"/>
        <v>0</v>
      </c>
      <c r="M40" s="20">
        <f t="shared" si="149"/>
        <v>0.1</v>
      </c>
      <c r="N40" s="20">
        <f t="shared" si="149"/>
        <v>0</v>
      </c>
      <c r="O40" s="20">
        <f t="shared" si="149"/>
        <v>0</v>
      </c>
      <c r="P40" s="20">
        <f t="shared" si="149"/>
        <v>0</v>
      </c>
      <c r="Q40" s="20">
        <f t="shared" si="7"/>
        <v>2</v>
      </c>
      <c r="R40" s="20">
        <f t="shared" si="8"/>
        <v>1.980829253</v>
      </c>
      <c r="S40" s="20">
        <f t="shared" ref="S40:Y40" si="150">J40*$R40</f>
        <v>0</v>
      </c>
      <c r="T40" s="20">
        <f t="shared" si="150"/>
        <v>0.2476036566</v>
      </c>
      <c r="U40" s="20">
        <f t="shared" si="150"/>
        <v>0</v>
      </c>
      <c r="V40" s="20">
        <f t="shared" si="150"/>
        <v>0.1980829253</v>
      </c>
      <c r="W40" s="20">
        <f t="shared" si="150"/>
        <v>0</v>
      </c>
      <c r="X40" s="20">
        <f t="shared" si="150"/>
        <v>0</v>
      </c>
      <c r="Y40" s="20">
        <f t="shared" si="150"/>
        <v>0</v>
      </c>
      <c r="Z40" s="20">
        <f t="shared" ref="Z40:AF40" si="151">S40/S$56</f>
        <v>0</v>
      </c>
      <c r="AA40" s="20">
        <f t="shared" si="151"/>
        <v>0.35951925</v>
      </c>
      <c r="AB40" s="20">
        <f t="shared" si="151"/>
        <v>0</v>
      </c>
      <c r="AC40" s="20">
        <f t="shared" si="151"/>
        <v>0.2369749366</v>
      </c>
      <c r="AD40" s="20">
        <f t="shared" si="151"/>
        <v>0</v>
      </c>
      <c r="AE40" s="20">
        <f t="shared" si="151"/>
        <v>0</v>
      </c>
      <c r="AF40" s="20">
        <f t="shared" si="151"/>
        <v>0</v>
      </c>
      <c r="AG40" s="20">
        <f t="shared" ref="AG40:AL40" si="152">Z40*$AF40</f>
        <v>0</v>
      </c>
      <c r="AH40" s="20">
        <f t="shared" si="152"/>
        <v>0</v>
      </c>
      <c r="AI40" s="21">
        <f t="shared" si="152"/>
        <v>0</v>
      </c>
      <c r="AJ40" s="21">
        <f t="shared" si="152"/>
        <v>0</v>
      </c>
      <c r="AK40" s="21">
        <f t="shared" si="152"/>
        <v>0</v>
      </c>
      <c r="AL40" s="21">
        <f t="shared" si="152"/>
        <v>0</v>
      </c>
    </row>
    <row r="41" ht="14.25" customHeight="1">
      <c r="B41" s="33" t="s">
        <v>60</v>
      </c>
      <c r="C41" s="25">
        <v>0.0</v>
      </c>
      <c r="D41" s="25">
        <v>1.0</v>
      </c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0">
        <f t="shared" ref="J41:P41" si="153">C41/C$56</f>
        <v>0</v>
      </c>
      <c r="K41" s="20">
        <f t="shared" si="153"/>
        <v>0.125</v>
      </c>
      <c r="L41" s="20">
        <f t="shared" si="153"/>
        <v>0</v>
      </c>
      <c r="M41" s="20">
        <f t="shared" si="153"/>
        <v>0</v>
      </c>
      <c r="N41" s="20">
        <f t="shared" si="153"/>
        <v>0</v>
      </c>
      <c r="O41" s="20">
        <f t="shared" si="153"/>
        <v>0</v>
      </c>
      <c r="P41" s="20">
        <f t="shared" si="153"/>
        <v>0</v>
      </c>
      <c r="Q41" s="20">
        <f t="shared" si="7"/>
        <v>1</v>
      </c>
      <c r="R41" s="20">
        <f t="shared" si="8"/>
        <v>2.386294361</v>
      </c>
      <c r="S41" s="20">
        <f t="shared" ref="S41:Y41" si="154">J41*$R41</f>
        <v>0</v>
      </c>
      <c r="T41" s="20">
        <f t="shared" si="154"/>
        <v>0.2982867951</v>
      </c>
      <c r="U41" s="20">
        <f t="shared" si="154"/>
        <v>0</v>
      </c>
      <c r="V41" s="20">
        <f t="shared" si="154"/>
        <v>0</v>
      </c>
      <c r="W41" s="20">
        <f t="shared" si="154"/>
        <v>0</v>
      </c>
      <c r="X41" s="20">
        <f t="shared" si="154"/>
        <v>0</v>
      </c>
      <c r="Y41" s="20">
        <f t="shared" si="154"/>
        <v>0</v>
      </c>
      <c r="Z41" s="20">
        <f t="shared" ref="Z41:AF41" si="155">S41/S$56</f>
        <v>0</v>
      </c>
      <c r="AA41" s="20">
        <f t="shared" si="155"/>
        <v>0.4331109093</v>
      </c>
      <c r="AB41" s="20">
        <f t="shared" si="155"/>
        <v>0</v>
      </c>
      <c r="AC41" s="20">
        <f t="shared" si="155"/>
        <v>0</v>
      </c>
      <c r="AD41" s="20">
        <f t="shared" si="155"/>
        <v>0</v>
      </c>
      <c r="AE41" s="20">
        <f t="shared" si="155"/>
        <v>0</v>
      </c>
      <c r="AF41" s="20">
        <f t="shared" si="155"/>
        <v>0</v>
      </c>
      <c r="AG41" s="20">
        <f t="shared" ref="AG41:AL41" si="156">Z41*$AF41</f>
        <v>0</v>
      </c>
      <c r="AH41" s="20">
        <f t="shared" si="156"/>
        <v>0</v>
      </c>
      <c r="AI41" s="21">
        <f t="shared" si="156"/>
        <v>0</v>
      </c>
      <c r="AJ41" s="21">
        <f t="shared" si="156"/>
        <v>0</v>
      </c>
      <c r="AK41" s="21">
        <f t="shared" si="156"/>
        <v>0</v>
      </c>
      <c r="AL41" s="21">
        <f t="shared" si="156"/>
        <v>0</v>
      </c>
    </row>
    <row r="42" ht="14.25" customHeight="1">
      <c r="B42" s="33" t="s">
        <v>61</v>
      </c>
      <c r="C42" s="25">
        <v>0.0</v>
      </c>
      <c r="D42" s="25">
        <v>0.0</v>
      </c>
      <c r="E42" s="25">
        <v>0.0</v>
      </c>
      <c r="F42" s="25">
        <v>0.0</v>
      </c>
      <c r="G42" s="25">
        <v>0.0</v>
      </c>
      <c r="H42" s="25">
        <v>2.0</v>
      </c>
      <c r="I42" s="25">
        <v>0.0</v>
      </c>
      <c r="J42" s="20">
        <f t="shared" ref="J42:P42" si="157">C42/C$56</f>
        <v>0</v>
      </c>
      <c r="K42" s="20">
        <f t="shared" si="157"/>
        <v>0</v>
      </c>
      <c r="L42" s="20">
        <f t="shared" si="157"/>
        <v>0</v>
      </c>
      <c r="M42" s="20">
        <f t="shared" si="157"/>
        <v>0</v>
      </c>
      <c r="N42" s="20">
        <f t="shared" si="157"/>
        <v>0</v>
      </c>
      <c r="O42" s="20">
        <f t="shared" si="157"/>
        <v>0.09523809524</v>
      </c>
      <c r="P42" s="20">
        <f t="shared" si="157"/>
        <v>0</v>
      </c>
      <c r="Q42" s="20">
        <f t="shared" si="7"/>
        <v>1</v>
      </c>
      <c r="R42" s="20">
        <f t="shared" si="8"/>
        <v>2.386294361</v>
      </c>
      <c r="S42" s="20">
        <f t="shared" ref="S42:Y42" si="158">J42*$R42</f>
        <v>0</v>
      </c>
      <c r="T42" s="20">
        <f t="shared" si="158"/>
        <v>0</v>
      </c>
      <c r="U42" s="20">
        <f t="shared" si="158"/>
        <v>0</v>
      </c>
      <c r="V42" s="20">
        <f t="shared" si="158"/>
        <v>0</v>
      </c>
      <c r="W42" s="20">
        <f t="shared" si="158"/>
        <v>0</v>
      </c>
      <c r="X42" s="20">
        <f t="shared" si="158"/>
        <v>0.2272661296</v>
      </c>
      <c r="Y42" s="20">
        <f t="shared" si="158"/>
        <v>0</v>
      </c>
      <c r="Z42" s="20">
        <f t="shared" ref="Z42:AF42" si="159">S42/S$56</f>
        <v>0</v>
      </c>
      <c r="AA42" s="20">
        <f t="shared" si="159"/>
        <v>0</v>
      </c>
      <c r="AB42" s="20">
        <f t="shared" si="159"/>
        <v>0</v>
      </c>
      <c r="AC42" s="20">
        <f t="shared" si="159"/>
        <v>0</v>
      </c>
      <c r="AD42" s="20">
        <f t="shared" si="159"/>
        <v>0</v>
      </c>
      <c r="AE42" s="20">
        <f t="shared" si="159"/>
        <v>0.3894111324</v>
      </c>
      <c r="AF42" s="20">
        <f t="shared" si="159"/>
        <v>0</v>
      </c>
      <c r="AG42" s="20">
        <f t="shared" ref="AG42:AL42" si="160">Z42*$AF42</f>
        <v>0</v>
      </c>
      <c r="AH42" s="20">
        <f t="shared" si="160"/>
        <v>0</v>
      </c>
      <c r="AI42" s="21">
        <f t="shared" si="160"/>
        <v>0</v>
      </c>
      <c r="AJ42" s="21">
        <f t="shared" si="160"/>
        <v>0</v>
      </c>
      <c r="AK42" s="21">
        <f t="shared" si="160"/>
        <v>0</v>
      </c>
      <c r="AL42" s="21">
        <f t="shared" si="160"/>
        <v>0</v>
      </c>
    </row>
    <row r="43" ht="14.25" customHeight="1">
      <c r="B43" s="33" t="s">
        <v>62</v>
      </c>
      <c r="C43" s="25">
        <v>1.0</v>
      </c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0">
        <f t="shared" ref="J43:P43" si="161">C43/C$56</f>
        <v>0.09090909091</v>
      </c>
      <c r="K43" s="20">
        <f t="shared" si="161"/>
        <v>0</v>
      </c>
      <c r="L43" s="20">
        <f t="shared" si="161"/>
        <v>0</v>
      </c>
      <c r="M43" s="20">
        <f t="shared" si="161"/>
        <v>0</v>
      </c>
      <c r="N43" s="20">
        <f t="shared" si="161"/>
        <v>0</v>
      </c>
      <c r="O43" s="20">
        <f t="shared" si="161"/>
        <v>0</v>
      </c>
      <c r="P43" s="20">
        <f t="shared" si="161"/>
        <v>0</v>
      </c>
      <c r="Q43" s="20">
        <f t="shared" si="7"/>
        <v>1</v>
      </c>
      <c r="R43" s="20">
        <f t="shared" si="8"/>
        <v>2.386294361</v>
      </c>
      <c r="S43" s="20">
        <f t="shared" ref="S43:Y43" si="162">J43*$R43</f>
        <v>0.216935851</v>
      </c>
      <c r="T43" s="20">
        <f t="shared" si="162"/>
        <v>0</v>
      </c>
      <c r="U43" s="20">
        <f t="shared" si="162"/>
        <v>0</v>
      </c>
      <c r="V43" s="20">
        <f t="shared" si="162"/>
        <v>0</v>
      </c>
      <c r="W43" s="20">
        <f t="shared" si="162"/>
        <v>0</v>
      </c>
      <c r="X43" s="20">
        <f t="shared" si="162"/>
        <v>0</v>
      </c>
      <c r="Y43" s="20">
        <f t="shared" si="162"/>
        <v>0</v>
      </c>
      <c r="Z43" s="20">
        <f t="shared" ref="Z43:AF43" si="163">S43/S$56</f>
        <v>0.3095415794</v>
      </c>
      <c r="AA43" s="20">
        <f t="shared" si="163"/>
        <v>0</v>
      </c>
      <c r="AB43" s="20">
        <f t="shared" si="163"/>
        <v>0</v>
      </c>
      <c r="AC43" s="20">
        <f t="shared" si="163"/>
        <v>0</v>
      </c>
      <c r="AD43" s="20">
        <f t="shared" si="163"/>
        <v>0</v>
      </c>
      <c r="AE43" s="20">
        <f t="shared" si="163"/>
        <v>0</v>
      </c>
      <c r="AF43" s="20">
        <f t="shared" si="163"/>
        <v>0</v>
      </c>
      <c r="AG43" s="20">
        <f t="shared" ref="AG43:AL43" si="164">Z43*$AF43</f>
        <v>0</v>
      </c>
      <c r="AH43" s="20">
        <f t="shared" si="164"/>
        <v>0</v>
      </c>
      <c r="AI43" s="21">
        <f t="shared" si="164"/>
        <v>0</v>
      </c>
      <c r="AJ43" s="21">
        <f t="shared" si="164"/>
        <v>0</v>
      </c>
      <c r="AK43" s="21">
        <f t="shared" si="164"/>
        <v>0</v>
      </c>
      <c r="AL43" s="21">
        <f t="shared" si="164"/>
        <v>0</v>
      </c>
    </row>
    <row r="44" ht="14.25" customHeight="1">
      <c r="B44" s="33" t="s">
        <v>63</v>
      </c>
      <c r="C44" s="25">
        <v>0.0</v>
      </c>
      <c r="D44" s="25">
        <v>0.0</v>
      </c>
      <c r="E44" s="25">
        <v>0.0</v>
      </c>
      <c r="F44" s="25">
        <v>0.0</v>
      </c>
      <c r="G44" s="25">
        <v>0.0</v>
      </c>
      <c r="H44" s="25">
        <v>1.0</v>
      </c>
      <c r="I44" s="25">
        <v>0.0</v>
      </c>
      <c r="J44" s="20">
        <f t="shared" ref="J44:P44" si="165">C44/C$56</f>
        <v>0</v>
      </c>
      <c r="K44" s="20">
        <f t="shared" si="165"/>
        <v>0</v>
      </c>
      <c r="L44" s="20">
        <f t="shared" si="165"/>
        <v>0</v>
      </c>
      <c r="M44" s="20">
        <f t="shared" si="165"/>
        <v>0</v>
      </c>
      <c r="N44" s="20">
        <f t="shared" si="165"/>
        <v>0</v>
      </c>
      <c r="O44" s="20">
        <f t="shared" si="165"/>
        <v>0.04761904762</v>
      </c>
      <c r="P44" s="20">
        <f t="shared" si="165"/>
        <v>0</v>
      </c>
      <c r="Q44" s="20">
        <f t="shared" si="7"/>
        <v>1</v>
      </c>
      <c r="R44" s="20">
        <f t="shared" si="8"/>
        <v>2.386294361</v>
      </c>
      <c r="S44" s="20">
        <f t="shared" ref="S44:Y44" si="166">J44*$R44</f>
        <v>0</v>
      </c>
      <c r="T44" s="20">
        <f t="shared" si="166"/>
        <v>0</v>
      </c>
      <c r="U44" s="20">
        <f t="shared" si="166"/>
        <v>0</v>
      </c>
      <c r="V44" s="20">
        <f t="shared" si="166"/>
        <v>0</v>
      </c>
      <c r="W44" s="20">
        <f t="shared" si="166"/>
        <v>0</v>
      </c>
      <c r="X44" s="20">
        <f t="shared" si="166"/>
        <v>0.1136330648</v>
      </c>
      <c r="Y44" s="20">
        <f t="shared" si="166"/>
        <v>0</v>
      </c>
      <c r="Z44" s="20">
        <f t="shared" ref="Z44:AF44" si="167">S44/S$56</f>
        <v>0</v>
      </c>
      <c r="AA44" s="20">
        <f t="shared" si="167"/>
        <v>0</v>
      </c>
      <c r="AB44" s="20">
        <f t="shared" si="167"/>
        <v>0</v>
      </c>
      <c r="AC44" s="20">
        <f t="shared" si="167"/>
        <v>0</v>
      </c>
      <c r="AD44" s="20">
        <f t="shared" si="167"/>
        <v>0</v>
      </c>
      <c r="AE44" s="20">
        <f t="shared" si="167"/>
        <v>0.1947055662</v>
      </c>
      <c r="AF44" s="20">
        <f t="shared" si="167"/>
        <v>0</v>
      </c>
      <c r="AG44" s="20">
        <f t="shared" ref="AG44:AL44" si="168">Z44*$AF44</f>
        <v>0</v>
      </c>
      <c r="AH44" s="20">
        <f t="shared" si="168"/>
        <v>0</v>
      </c>
      <c r="AI44" s="21">
        <f t="shared" si="168"/>
        <v>0</v>
      </c>
      <c r="AJ44" s="21">
        <f t="shared" si="168"/>
        <v>0</v>
      </c>
      <c r="AK44" s="21">
        <f t="shared" si="168"/>
        <v>0</v>
      </c>
      <c r="AL44" s="21">
        <f t="shared" si="168"/>
        <v>0</v>
      </c>
    </row>
    <row r="45" ht="14.25" customHeight="1">
      <c r="B45" s="33" t="s">
        <v>64</v>
      </c>
      <c r="C45" s="25">
        <v>0.0</v>
      </c>
      <c r="D45" s="25">
        <v>0.0</v>
      </c>
      <c r="E45" s="25">
        <v>0.0</v>
      </c>
      <c r="F45" s="25">
        <v>1.0</v>
      </c>
      <c r="G45" s="25">
        <v>0.0</v>
      </c>
      <c r="H45" s="25">
        <v>0.0</v>
      </c>
      <c r="I45" s="25">
        <v>0.0</v>
      </c>
      <c r="J45" s="20">
        <f t="shared" ref="J45:P45" si="169">C45/C$56</f>
        <v>0</v>
      </c>
      <c r="K45" s="20">
        <f t="shared" si="169"/>
        <v>0</v>
      </c>
      <c r="L45" s="20">
        <f t="shared" si="169"/>
        <v>0</v>
      </c>
      <c r="M45" s="20">
        <f t="shared" si="169"/>
        <v>0.1</v>
      </c>
      <c r="N45" s="20">
        <f t="shared" si="169"/>
        <v>0</v>
      </c>
      <c r="O45" s="20">
        <f t="shared" si="169"/>
        <v>0</v>
      </c>
      <c r="P45" s="20">
        <f t="shared" si="169"/>
        <v>0</v>
      </c>
      <c r="Q45" s="20">
        <f t="shared" si="7"/>
        <v>1</v>
      </c>
      <c r="R45" s="20">
        <f t="shared" si="8"/>
        <v>2.386294361</v>
      </c>
      <c r="S45" s="20">
        <f t="shared" ref="S45:Y45" si="170">J45*$R45</f>
        <v>0</v>
      </c>
      <c r="T45" s="20">
        <f t="shared" si="170"/>
        <v>0</v>
      </c>
      <c r="U45" s="20">
        <f t="shared" si="170"/>
        <v>0</v>
      </c>
      <c r="V45" s="20">
        <f t="shared" si="170"/>
        <v>0.2386294361</v>
      </c>
      <c r="W45" s="20">
        <f t="shared" si="170"/>
        <v>0</v>
      </c>
      <c r="X45" s="20">
        <f t="shared" si="170"/>
        <v>0</v>
      </c>
      <c r="Y45" s="20">
        <f t="shared" si="170"/>
        <v>0</v>
      </c>
      <c r="Z45" s="20">
        <f t="shared" ref="Z45:AF45" si="171">S45/S$56</f>
        <v>0</v>
      </c>
      <c r="AA45" s="20">
        <f t="shared" si="171"/>
        <v>0</v>
      </c>
      <c r="AB45" s="20">
        <f t="shared" si="171"/>
        <v>0</v>
      </c>
      <c r="AC45" s="20">
        <f t="shared" si="171"/>
        <v>0.2854824332</v>
      </c>
      <c r="AD45" s="20">
        <f t="shared" si="171"/>
        <v>0</v>
      </c>
      <c r="AE45" s="20">
        <f t="shared" si="171"/>
        <v>0</v>
      </c>
      <c r="AF45" s="20">
        <f t="shared" si="171"/>
        <v>0</v>
      </c>
      <c r="AG45" s="20">
        <f t="shared" ref="AG45:AL45" si="172">Z45*$AF45</f>
        <v>0</v>
      </c>
      <c r="AH45" s="20">
        <f t="shared" si="172"/>
        <v>0</v>
      </c>
      <c r="AI45" s="21">
        <f t="shared" si="172"/>
        <v>0</v>
      </c>
      <c r="AJ45" s="21">
        <f t="shared" si="172"/>
        <v>0</v>
      </c>
      <c r="AK45" s="21">
        <f t="shared" si="172"/>
        <v>0</v>
      </c>
      <c r="AL45" s="21">
        <f t="shared" si="172"/>
        <v>0</v>
      </c>
    </row>
    <row r="46" ht="14.25" customHeight="1">
      <c r="B46" s="33" t="s">
        <v>65</v>
      </c>
      <c r="C46" s="25">
        <v>0.0</v>
      </c>
      <c r="D46" s="25">
        <v>0.0</v>
      </c>
      <c r="E46" s="25">
        <v>0.0</v>
      </c>
      <c r="F46" s="25">
        <v>0.0</v>
      </c>
      <c r="G46" s="25">
        <v>0.0</v>
      </c>
      <c r="H46" s="25">
        <v>1.0</v>
      </c>
      <c r="I46" s="25">
        <v>0.0</v>
      </c>
      <c r="J46" s="20">
        <f t="shared" ref="J46:P46" si="173">C46/C$56</f>
        <v>0</v>
      </c>
      <c r="K46" s="20">
        <f t="shared" si="173"/>
        <v>0</v>
      </c>
      <c r="L46" s="20">
        <f t="shared" si="173"/>
        <v>0</v>
      </c>
      <c r="M46" s="20">
        <f t="shared" si="173"/>
        <v>0</v>
      </c>
      <c r="N46" s="20">
        <f t="shared" si="173"/>
        <v>0</v>
      </c>
      <c r="O46" s="20">
        <f t="shared" si="173"/>
        <v>0.04761904762</v>
      </c>
      <c r="P46" s="20">
        <f t="shared" si="173"/>
        <v>0</v>
      </c>
      <c r="Q46" s="20">
        <f t="shared" si="7"/>
        <v>1</v>
      </c>
      <c r="R46" s="20">
        <f t="shared" si="8"/>
        <v>2.386294361</v>
      </c>
      <c r="S46" s="20">
        <f t="shared" ref="S46:Y46" si="174">J46*$R46</f>
        <v>0</v>
      </c>
      <c r="T46" s="20">
        <f t="shared" si="174"/>
        <v>0</v>
      </c>
      <c r="U46" s="20">
        <f t="shared" si="174"/>
        <v>0</v>
      </c>
      <c r="V46" s="20">
        <f t="shared" si="174"/>
        <v>0</v>
      </c>
      <c r="W46" s="20">
        <f t="shared" si="174"/>
        <v>0</v>
      </c>
      <c r="X46" s="20">
        <f t="shared" si="174"/>
        <v>0.1136330648</v>
      </c>
      <c r="Y46" s="20">
        <f t="shared" si="174"/>
        <v>0</v>
      </c>
      <c r="Z46" s="20">
        <f t="shared" ref="Z46:AF46" si="175">S46/S$56</f>
        <v>0</v>
      </c>
      <c r="AA46" s="20">
        <f t="shared" si="175"/>
        <v>0</v>
      </c>
      <c r="AB46" s="20">
        <f t="shared" si="175"/>
        <v>0</v>
      </c>
      <c r="AC46" s="20">
        <f t="shared" si="175"/>
        <v>0</v>
      </c>
      <c r="AD46" s="20">
        <f t="shared" si="175"/>
        <v>0</v>
      </c>
      <c r="AE46" s="20">
        <f t="shared" si="175"/>
        <v>0.1947055662</v>
      </c>
      <c r="AF46" s="20">
        <f t="shared" si="175"/>
        <v>0</v>
      </c>
      <c r="AG46" s="20">
        <f t="shared" ref="AG46:AL46" si="176">Z46*$AF46</f>
        <v>0</v>
      </c>
      <c r="AH46" s="20">
        <f t="shared" si="176"/>
        <v>0</v>
      </c>
      <c r="AI46" s="21">
        <f t="shared" si="176"/>
        <v>0</v>
      </c>
      <c r="AJ46" s="21">
        <f t="shared" si="176"/>
        <v>0</v>
      </c>
      <c r="AK46" s="21">
        <f t="shared" si="176"/>
        <v>0</v>
      </c>
      <c r="AL46" s="21">
        <f t="shared" si="176"/>
        <v>0</v>
      </c>
    </row>
    <row r="47" ht="14.25" customHeight="1">
      <c r="B47" s="33" t="s">
        <v>66</v>
      </c>
      <c r="C47" s="25">
        <v>0.0</v>
      </c>
      <c r="D47" s="25">
        <v>0.0</v>
      </c>
      <c r="E47" s="25">
        <v>0.0</v>
      </c>
      <c r="F47" s="25">
        <v>0.0</v>
      </c>
      <c r="G47" s="25">
        <v>0.0</v>
      </c>
      <c r="H47" s="25">
        <v>2.0</v>
      </c>
      <c r="I47" s="25">
        <v>0.0</v>
      </c>
      <c r="J47" s="20">
        <f t="shared" ref="J47:P47" si="177">C47/C$56</f>
        <v>0</v>
      </c>
      <c r="K47" s="20">
        <f t="shared" si="177"/>
        <v>0</v>
      </c>
      <c r="L47" s="20">
        <f t="shared" si="177"/>
        <v>0</v>
      </c>
      <c r="M47" s="20">
        <f t="shared" si="177"/>
        <v>0</v>
      </c>
      <c r="N47" s="20">
        <f t="shared" si="177"/>
        <v>0</v>
      </c>
      <c r="O47" s="20">
        <f t="shared" si="177"/>
        <v>0.09523809524</v>
      </c>
      <c r="P47" s="20">
        <f t="shared" si="177"/>
        <v>0</v>
      </c>
      <c r="Q47" s="20">
        <f t="shared" si="7"/>
        <v>1</v>
      </c>
      <c r="R47" s="20">
        <f t="shared" si="8"/>
        <v>2.386294361</v>
      </c>
      <c r="S47" s="20">
        <f t="shared" ref="S47:Y47" si="178">J47*$R47</f>
        <v>0</v>
      </c>
      <c r="T47" s="20">
        <f t="shared" si="178"/>
        <v>0</v>
      </c>
      <c r="U47" s="20">
        <f t="shared" si="178"/>
        <v>0</v>
      </c>
      <c r="V47" s="20">
        <f t="shared" si="178"/>
        <v>0</v>
      </c>
      <c r="W47" s="20">
        <f t="shared" si="178"/>
        <v>0</v>
      </c>
      <c r="X47" s="20">
        <f t="shared" si="178"/>
        <v>0.2272661296</v>
      </c>
      <c r="Y47" s="20">
        <f t="shared" si="178"/>
        <v>0</v>
      </c>
      <c r="Z47" s="20">
        <f t="shared" ref="Z47:AF47" si="179">S47/S$56</f>
        <v>0</v>
      </c>
      <c r="AA47" s="20">
        <f t="shared" si="179"/>
        <v>0</v>
      </c>
      <c r="AB47" s="20">
        <f t="shared" si="179"/>
        <v>0</v>
      </c>
      <c r="AC47" s="20">
        <f t="shared" si="179"/>
        <v>0</v>
      </c>
      <c r="AD47" s="20">
        <f t="shared" si="179"/>
        <v>0</v>
      </c>
      <c r="AE47" s="20">
        <f t="shared" si="179"/>
        <v>0.3894111324</v>
      </c>
      <c r="AF47" s="20">
        <f t="shared" si="179"/>
        <v>0</v>
      </c>
      <c r="AG47" s="20">
        <f t="shared" ref="AG47:AL47" si="180">Z47*$AF47</f>
        <v>0</v>
      </c>
      <c r="AH47" s="20">
        <f t="shared" si="180"/>
        <v>0</v>
      </c>
      <c r="AI47" s="21">
        <f t="shared" si="180"/>
        <v>0</v>
      </c>
      <c r="AJ47" s="21">
        <f t="shared" si="180"/>
        <v>0</v>
      </c>
      <c r="AK47" s="21">
        <f t="shared" si="180"/>
        <v>0</v>
      </c>
      <c r="AL47" s="21">
        <f t="shared" si="180"/>
        <v>0</v>
      </c>
    </row>
    <row r="48" ht="14.25" customHeight="1">
      <c r="B48" s="33" t="s">
        <v>67</v>
      </c>
      <c r="C48" s="25">
        <v>0.0</v>
      </c>
      <c r="D48" s="25">
        <v>0.0</v>
      </c>
      <c r="E48" s="25">
        <v>0.0</v>
      </c>
      <c r="F48" s="25">
        <v>0.0</v>
      </c>
      <c r="G48" s="25">
        <v>0.0</v>
      </c>
      <c r="H48" s="25">
        <v>1.0</v>
      </c>
      <c r="I48" s="25">
        <v>0.0</v>
      </c>
      <c r="J48" s="20">
        <f t="shared" ref="J48:P48" si="181">C48/C$56</f>
        <v>0</v>
      </c>
      <c r="K48" s="20">
        <f t="shared" si="181"/>
        <v>0</v>
      </c>
      <c r="L48" s="20">
        <f t="shared" si="181"/>
        <v>0</v>
      </c>
      <c r="M48" s="20">
        <f t="shared" si="181"/>
        <v>0</v>
      </c>
      <c r="N48" s="20">
        <f t="shared" si="181"/>
        <v>0</v>
      </c>
      <c r="O48" s="20">
        <f t="shared" si="181"/>
        <v>0.04761904762</v>
      </c>
      <c r="P48" s="20">
        <f t="shared" si="181"/>
        <v>0</v>
      </c>
      <c r="Q48" s="20">
        <f t="shared" si="7"/>
        <v>1</v>
      </c>
      <c r="R48" s="20">
        <f t="shared" si="8"/>
        <v>2.386294361</v>
      </c>
      <c r="S48" s="20">
        <f t="shared" ref="S48:Y48" si="182">J48*$R48</f>
        <v>0</v>
      </c>
      <c r="T48" s="20">
        <f t="shared" si="182"/>
        <v>0</v>
      </c>
      <c r="U48" s="20">
        <f t="shared" si="182"/>
        <v>0</v>
      </c>
      <c r="V48" s="20">
        <f t="shared" si="182"/>
        <v>0</v>
      </c>
      <c r="W48" s="20">
        <f t="shared" si="182"/>
        <v>0</v>
      </c>
      <c r="X48" s="20">
        <f t="shared" si="182"/>
        <v>0.1136330648</v>
      </c>
      <c r="Y48" s="20">
        <f t="shared" si="182"/>
        <v>0</v>
      </c>
      <c r="Z48" s="20">
        <f t="shared" ref="Z48:AF48" si="183">S48/S$56</f>
        <v>0</v>
      </c>
      <c r="AA48" s="20">
        <f t="shared" si="183"/>
        <v>0</v>
      </c>
      <c r="AB48" s="20">
        <f t="shared" si="183"/>
        <v>0</v>
      </c>
      <c r="AC48" s="20">
        <f t="shared" si="183"/>
        <v>0</v>
      </c>
      <c r="AD48" s="20">
        <f t="shared" si="183"/>
        <v>0</v>
      </c>
      <c r="AE48" s="20">
        <f t="shared" si="183"/>
        <v>0.1947055662</v>
      </c>
      <c r="AF48" s="20">
        <f t="shared" si="183"/>
        <v>0</v>
      </c>
      <c r="AG48" s="20">
        <f t="shared" ref="AG48:AL48" si="184">Z48*$AF48</f>
        <v>0</v>
      </c>
      <c r="AH48" s="20">
        <f t="shared" si="184"/>
        <v>0</v>
      </c>
      <c r="AI48" s="21">
        <f t="shared" si="184"/>
        <v>0</v>
      </c>
      <c r="AJ48" s="21">
        <f t="shared" si="184"/>
        <v>0</v>
      </c>
      <c r="AK48" s="21">
        <f t="shared" si="184"/>
        <v>0</v>
      </c>
      <c r="AL48" s="21">
        <f t="shared" si="184"/>
        <v>0</v>
      </c>
    </row>
    <row r="49" ht="14.25" customHeight="1">
      <c r="B49" s="33" t="s">
        <v>68</v>
      </c>
      <c r="C49" s="25">
        <v>0.0</v>
      </c>
      <c r="D49" s="25">
        <v>0.0</v>
      </c>
      <c r="E49" s="25">
        <v>0.0</v>
      </c>
      <c r="F49" s="25">
        <v>0.0</v>
      </c>
      <c r="G49" s="25">
        <v>1.0</v>
      </c>
      <c r="H49" s="25">
        <v>0.0</v>
      </c>
      <c r="I49" s="25">
        <v>0.0</v>
      </c>
      <c r="J49" s="20">
        <f t="shared" ref="J49:P49" si="185">C49/C$56</f>
        <v>0</v>
      </c>
      <c r="K49" s="20">
        <f t="shared" si="185"/>
        <v>0</v>
      </c>
      <c r="L49" s="20">
        <f t="shared" si="185"/>
        <v>0</v>
      </c>
      <c r="M49" s="20">
        <f t="shared" si="185"/>
        <v>0</v>
      </c>
      <c r="N49" s="20">
        <f t="shared" si="185"/>
        <v>0.06666666667</v>
      </c>
      <c r="O49" s="20">
        <f t="shared" si="185"/>
        <v>0</v>
      </c>
      <c r="P49" s="20">
        <f t="shared" si="185"/>
        <v>0</v>
      </c>
      <c r="Q49" s="20">
        <f t="shared" si="7"/>
        <v>1</v>
      </c>
      <c r="R49" s="20">
        <f t="shared" si="8"/>
        <v>2.386294361</v>
      </c>
      <c r="S49" s="20">
        <f t="shared" ref="S49:Y49" si="186">J49*$R49</f>
        <v>0</v>
      </c>
      <c r="T49" s="20">
        <f t="shared" si="186"/>
        <v>0</v>
      </c>
      <c r="U49" s="20">
        <f t="shared" si="186"/>
        <v>0</v>
      </c>
      <c r="V49" s="20">
        <f t="shared" si="186"/>
        <v>0</v>
      </c>
      <c r="W49" s="20">
        <f t="shared" si="186"/>
        <v>0.1590862907</v>
      </c>
      <c r="X49" s="20">
        <f t="shared" si="186"/>
        <v>0</v>
      </c>
      <c r="Y49" s="20">
        <f t="shared" si="186"/>
        <v>0</v>
      </c>
      <c r="Z49" s="20">
        <f t="shared" ref="Z49:AF49" si="187">S49/S$56</f>
        <v>0</v>
      </c>
      <c r="AA49" s="20">
        <f t="shared" si="187"/>
        <v>0</v>
      </c>
      <c r="AB49" s="20">
        <f t="shared" si="187"/>
        <v>0</v>
      </c>
      <c r="AC49" s="20">
        <f t="shared" si="187"/>
        <v>0</v>
      </c>
      <c r="AD49" s="20">
        <f t="shared" si="187"/>
        <v>0.272705335</v>
      </c>
      <c r="AE49" s="20">
        <f t="shared" si="187"/>
        <v>0</v>
      </c>
      <c r="AF49" s="20">
        <f t="shared" si="187"/>
        <v>0</v>
      </c>
      <c r="AG49" s="20">
        <f t="shared" ref="AG49:AL49" si="188">Z49*$AF49</f>
        <v>0</v>
      </c>
      <c r="AH49" s="20">
        <f t="shared" si="188"/>
        <v>0</v>
      </c>
      <c r="AI49" s="21">
        <f t="shared" si="188"/>
        <v>0</v>
      </c>
      <c r="AJ49" s="21">
        <f t="shared" si="188"/>
        <v>0</v>
      </c>
      <c r="AK49" s="21">
        <f t="shared" si="188"/>
        <v>0</v>
      </c>
      <c r="AL49" s="21">
        <f t="shared" si="188"/>
        <v>0</v>
      </c>
    </row>
    <row r="50" ht="14.25" customHeight="1">
      <c r="B50" s="33" t="s">
        <v>69</v>
      </c>
      <c r="C50" s="25">
        <v>0.0</v>
      </c>
      <c r="D50" s="25">
        <v>0.0</v>
      </c>
      <c r="E50" s="25">
        <v>0.0</v>
      </c>
      <c r="F50" s="25">
        <v>0.0</v>
      </c>
      <c r="G50" s="25">
        <v>1.0</v>
      </c>
      <c r="H50" s="25">
        <v>1.0</v>
      </c>
      <c r="I50" s="25">
        <v>0.0</v>
      </c>
      <c r="J50" s="20">
        <f t="shared" ref="J50:P50" si="189">C50/C$56</f>
        <v>0</v>
      </c>
      <c r="K50" s="20">
        <f t="shared" si="189"/>
        <v>0</v>
      </c>
      <c r="L50" s="20">
        <f t="shared" si="189"/>
        <v>0</v>
      </c>
      <c r="M50" s="20">
        <f t="shared" si="189"/>
        <v>0</v>
      </c>
      <c r="N50" s="20">
        <f t="shared" si="189"/>
        <v>0.06666666667</v>
      </c>
      <c r="O50" s="20">
        <f t="shared" si="189"/>
        <v>0.04761904762</v>
      </c>
      <c r="P50" s="20">
        <f t="shared" si="189"/>
        <v>0</v>
      </c>
      <c r="Q50" s="20">
        <f t="shared" si="7"/>
        <v>2</v>
      </c>
      <c r="R50" s="20">
        <f t="shared" si="8"/>
        <v>1.980829253</v>
      </c>
      <c r="S50" s="20">
        <f t="shared" ref="S50:Y50" si="190">J50*$R50</f>
        <v>0</v>
      </c>
      <c r="T50" s="20">
        <f t="shared" si="190"/>
        <v>0</v>
      </c>
      <c r="U50" s="20">
        <f t="shared" si="190"/>
        <v>0</v>
      </c>
      <c r="V50" s="20">
        <f t="shared" si="190"/>
        <v>0</v>
      </c>
      <c r="W50" s="20">
        <f t="shared" si="190"/>
        <v>0.1320552835</v>
      </c>
      <c r="X50" s="20">
        <f t="shared" si="190"/>
        <v>0.09432520252</v>
      </c>
      <c r="Y50" s="20">
        <f t="shared" si="190"/>
        <v>0</v>
      </c>
      <c r="Z50" s="20">
        <f t="shared" ref="Z50:AF50" si="191">S50/S$56</f>
        <v>0</v>
      </c>
      <c r="AA50" s="20">
        <f t="shared" si="191"/>
        <v>0</v>
      </c>
      <c r="AB50" s="20">
        <f t="shared" si="191"/>
        <v>0</v>
      </c>
      <c r="AC50" s="20">
        <f t="shared" si="191"/>
        <v>0</v>
      </c>
      <c r="AD50" s="20">
        <f t="shared" si="191"/>
        <v>0.2263688478</v>
      </c>
      <c r="AE50" s="20">
        <f t="shared" si="191"/>
        <v>0.1616223411</v>
      </c>
      <c r="AF50" s="20">
        <f t="shared" si="191"/>
        <v>0</v>
      </c>
      <c r="AG50" s="20">
        <f t="shared" ref="AG50:AL50" si="192">Z50*$AF50</f>
        <v>0</v>
      </c>
      <c r="AH50" s="20">
        <f t="shared" si="192"/>
        <v>0</v>
      </c>
      <c r="AI50" s="21">
        <f t="shared" si="192"/>
        <v>0</v>
      </c>
      <c r="AJ50" s="21">
        <f t="shared" si="192"/>
        <v>0</v>
      </c>
      <c r="AK50" s="21">
        <f t="shared" si="192"/>
        <v>0</v>
      </c>
      <c r="AL50" s="21">
        <f t="shared" si="192"/>
        <v>0</v>
      </c>
    </row>
    <row r="51" ht="14.25" customHeight="1">
      <c r="B51" s="33" t="s">
        <v>70</v>
      </c>
      <c r="C51" s="25">
        <v>0.0</v>
      </c>
      <c r="D51" s="25">
        <v>0.0</v>
      </c>
      <c r="E51" s="25">
        <v>0.0</v>
      </c>
      <c r="F51" s="25">
        <v>1.0</v>
      </c>
      <c r="G51" s="25">
        <v>0.0</v>
      </c>
      <c r="H51" s="25">
        <v>0.0</v>
      </c>
      <c r="I51" s="25">
        <v>0.0</v>
      </c>
      <c r="J51" s="20">
        <f t="shared" ref="J51:P51" si="193">C51/C$56</f>
        <v>0</v>
      </c>
      <c r="K51" s="20">
        <f t="shared" si="193"/>
        <v>0</v>
      </c>
      <c r="L51" s="20">
        <f t="shared" si="193"/>
        <v>0</v>
      </c>
      <c r="M51" s="20">
        <f t="shared" si="193"/>
        <v>0.1</v>
      </c>
      <c r="N51" s="20">
        <f t="shared" si="193"/>
        <v>0</v>
      </c>
      <c r="O51" s="20">
        <f t="shared" si="193"/>
        <v>0</v>
      </c>
      <c r="P51" s="20">
        <f t="shared" si="193"/>
        <v>0</v>
      </c>
      <c r="Q51" s="20">
        <f t="shared" si="7"/>
        <v>1</v>
      </c>
      <c r="R51" s="20">
        <f t="shared" si="8"/>
        <v>2.386294361</v>
      </c>
      <c r="S51" s="20">
        <f t="shared" ref="S51:Y51" si="194">J51*$R51</f>
        <v>0</v>
      </c>
      <c r="T51" s="20">
        <f t="shared" si="194"/>
        <v>0</v>
      </c>
      <c r="U51" s="20">
        <f t="shared" si="194"/>
        <v>0</v>
      </c>
      <c r="V51" s="20">
        <f t="shared" si="194"/>
        <v>0.2386294361</v>
      </c>
      <c r="W51" s="20">
        <f t="shared" si="194"/>
        <v>0</v>
      </c>
      <c r="X51" s="20">
        <f t="shared" si="194"/>
        <v>0</v>
      </c>
      <c r="Y51" s="20">
        <f t="shared" si="194"/>
        <v>0</v>
      </c>
      <c r="Z51" s="20">
        <f t="shared" ref="Z51:AF51" si="195">S51/S$56</f>
        <v>0</v>
      </c>
      <c r="AA51" s="20">
        <f t="shared" si="195"/>
        <v>0</v>
      </c>
      <c r="AB51" s="20">
        <f t="shared" si="195"/>
        <v>0</v>
      </c>
      <c r="AC51" s="20">
        <f t="shared" si="195"/>
        <v>0.2854824332</v>
      </c>
      <c r="AD51" s="20">
        <f t="shared" si="195"/>
        <v>0</v>
      </c>
      <c r="AE51" s="20">
        <f t="shared" si="195"/>
        <v>0</v>
      </c>
      <c r="AF51" s="20">
        <f t="shared" si="195"/>
        <v>0</v>
      </c>
      <c r="AG51" s="20">
        <f t="shared" ref="AG51:AL51" si="196">Z51*$AF51</f>
        <v>0</v>
      </c>
      <c r="AH51" s="20">
        <f t="shared" si="196"/>
        <v>0</v>
      </c>
      <c r="AI51" s="21">
        <f t="shared" si="196"/>
        <v>0</v>
      </c>
      <c r="AJ51" s="21">
        <f t="shared" si="196"/>
        <v>0</v>
      </c>
      <c r="AK51" s="21">
        <f t="shared" si="196"/>
        <v>0</v>
      </c>
      <c r="AL51" s="21">
        <f t="shared" si="196"/>
        <v>0</v>
      </c>
    </row>
    <row r="52" ht="14.25" customHeight="1">
      <c r="B52" s="33" t="s">
        <v>71</v>
      </c>
      <c r="C52" s="25">
        <v>0.0</v>
      </c>
      <c r="D52" s="25">
        <v>0.0</v>
      </c>
      <c r="E52" s="25">
        <v>0.0</v>
      </c>
      <c r="F52" s="25">
        <v>0.0</v>
      </c>
      <c r="G52" s="25">
        <v>0.0</v>
      </c>
      <c r="H52" s="25">
        <v>1.0</v>
      </c>
      <c r="I52" s="25">
        <v>0.0</v>
      </c>
      <c r="J52" s="20">
        <f t="shared" ref="J52:P52" si="197">C52/C$56</f>
        <v>0</v>
      </c>
      <c r="K52" s="20">
        <f t="shared" si="197"/>
        <v>0</v>
      </c>
      <c r="L52" s="20">
        <f t="shared" si="197"/>
        <v>0</v>
      </c>
      <c r="M52" s="20">
        <f t="shared" si="197"/>
        <v>0</v>
      </c>
      <c r="N52" s="20">
        <f t="shared" si="197"/>
        <v>0</v>
      </c>
      <c r="O52" s="20">
        <f t="shared" si="197"/>
        <v>0.04761904762</v>
      </c>
      <c r="P52" s="20">
        <f t="shared" si="197"/>
        <v>0</v>
      </c>
      <c r="Q52" s="20">
        <f t="shared" si="7"/>
        <v>1</v>
      </c>
      <c r="R52" s="20">
        <f t="shared" si="8"/>
        <v>2.386294361</v>
      </c>
      <c r="S52" s="20">
        <f t="shared" ref="S52:Y52" si="198">J52*$R52</f>
        <v>0</v>
      </c>
      <c r="T52" s="20">
        <f t="shared" si="198"/>
        <v>0</v>
      </c>
      <c r="U52" s="20">
        <f t="shared" si="198"/>
        <v>0</v>
      </c>
      <c r="V52" s="20">
        <f t="shared" si="198"/>
        <v>0</v>
      </c>
      <c r="W52" s="20">
        <f t="shared" si="198"/>
        <v>0</v>
      </c>
      <c r="X52" s="20">
        <f t="shared" si="198"/>
        <v>0.1136330648</v>
      </c>
      <c r="Y52" s="20">
        <f t="shared" si="198"/>
        <v>0</v>
      </c>
      <c r="Z52" s="20">
        <f t="shared" ref="Z52:AF52" si="199">S52/S$56</f>
        <v>0</v>
      </c>
      <c r="AA52" s="20">
        <f t="shared" si="199"/>
        <v>0</v>
      </c>
      <c r="AB52" s="20">
        <f t="shared" si="199"/>
        <v>0</v>
      </c>
      <c r="AC52" s="20">
        <f t="shared" si="199"/>
        <v>0</v>
      </c>
      <c r="AD52" s="20">
        <f t="shared" si="199"/>
        <v>0</v>
      </c>
      <c r="AE52" s="20">
        <f t="shared" si="199"/>
        <v>0.1947055662</v>
      </c>
      <c r="AF52" s="20">
        <f t="shared" si="199"/>
        <v>0</v>
      </c>
      <c r="AG52" s="20">
        <f t="shared" ref="AG52:AL52" si="200">Z52*$AF52</f>
        <v>0</v>
      </c>
      <c r="AH52" s="20">
        <f t="shared" si="200"/>
        <v>0</v>
      </c>
      <c r="AI52" s="21">
        <f t="shared" si="200"/>
        <v>0</v>
      </c>
      <c r="AJ52" s="21">
        <f t="shared" si="200"/>
        <v>0</v>
      </c>
      <c r="AK52" s="21">
        <f t="shared" si="200"/>
        <v>0</v>
      </c>
      <c r="AL52" s="21">
        <f t="shared" si="200"/>
        <v>0</v>
      </c>
    </row>
    <row r="53" ht="14.25" customHeight="1">
      <c r="B53" s="33" t="s">
        <v>72</v>
      </c>
      <c r="C53" s="25">
        <v>0.0</v>
      </c>
      <c r="D53" s="25">
        <v>0.0</v>
      </c>
      <c r="E53" s="25">
        <v>0.0</v>
      </c>
      <c r="F53" s="25">
        <v>0.0</v>
      </c>
      <c r="G53" s="25">
        <v>0.0</v>
      </c>
      <c r="H53" s="25">
        <v>2.0</v>
      </c>
      <c r="I53" s="25">
        <v>0.0</v>
      </c>
      <c r="J53" s="20">
        <f t="shared" ref="J53:P53" si="201">C53/C$56</f>
        <v>0</v>
      </c>
      <c r="K53" s="20">
        <f t="shared" si="201"/>
        <v>0</v>
      </c>
      <c r="L53" s="20">
        <f t="shared" si="201"/>
        <v>0</v>
      </c>
      <c r="M53" s="20">
        <f t="shared" si="201"/>
        <v>0</v>
      </c>
      <c r="N53" s="20">
        <f t="shared" si="201"/>
        <v>0</v>
      </c>
      <c r="O53" s="20">
        <f t="shared" si="201"/>
        <v>0.09523809524</v>
      </c>
      <c r="P53" s="20">
        <f t="shared" si="201"/>
        <v>0</v>
      </c>
      <c r="Q53" s="20">
        <f t="shared" si="7"/>
        <v>1</v>
      </c>
      <c r="R53" s="20">
        <f t="shared" si="8"/>
        <v>2.386294361</v>
      </c>
      <c r="S53" s="20">
        <f t="shared" ref="S53:Y53" si="202">J53*$R53</f>
        <v>0</v>
      </c>
      <c r="T53" s="20">
        <f t="shared" si="202"/>
        <v>0</v>
      </c>
      <c r="U53" s="20">
        <f t="shared" si="202"/>
        <v>0</v>
      </c>
      <c r="V53" s="20">
        <f t="shared" si="202"/>
        <v>0</v>
      </c>
      <c r="W53" s="20">
        <f t="shared" si="202"/>
        <v>0</v>
      </c>
      <c r="X53" s="20">
        <f t="shared" si="202"/>
        <v>0.2272661296</v>
      </c>
      <c r="Y53" s="20">
        <f t="shared" si="202"/>
        <v>0</v>
      </c>
      <c r="Z53" s="20">
        <f t="shared" ref="Z53:AF53" si="203">S53/S$56</f>
        <v>0</v>
      </c>
      <c r="AA53" s="20">
        <f t="shared" si="203"/>
        <v>0</v>
      </c>
      <c r="AB53" s="20">
        <f t="shared" si="203"/>
        <v>0</v>
      </c>
      <c r="AC53" s="20">
        <f t="shared" si="203"/>
        <v>0</v>
      </c>
      <c r="AD53" s="20">
        <f t="shared" si="203"/>
        <v>0</v>
      </c>
      <c r="AE53" s="20">
        <f t="shared" si="203"/>
        <v>0.3894111324</v>
      </c>
      <c r="AF53" s="20">
        <f t="shared" si="203"/>
        <v>0</v>
      </c>
      <c r="AG53" s="20">
        <f t="shared" ref="AG53:AL53" si="204">Z53*$AF53</f>
        <v>0</v>
      </c>
      <c r="AH53" s="20">
        <f t="shared" si="204"/>
        <v>0</v>
      </c>
      <c r="AI53" s="21">
        <f t="shared" si="204"/>
        <v>0</v>
      </c>
      <c r="AJ53" s="21">
        <f t="shared" si="204"/>
        <v>0</v>
      </c>
      <c r="AK53" s="21">
        <f t="shared" si="204"/>
        <v>0</v>
      </c>
      <c r="AL53" s="21">
        <f t="shared" si="204"/>
        <v>0</v>
      </c>
    </row>
    <row r="54" ht="14.25" customHeight="1">
      <c r="B54" s="33" t="s">
        <v>73</v>
      </c>
      <c r="C54" s="25">
        <v>2.0</v>
      </c>
      <c r="D54" s="25">
        <v>1.0</v>
      </c>
      <c r="E54" s="25">
        <v>1.0</v>
      </c>
      <c r="F54" s="25">
        <v>0.0</v>
      </c>
      <c r="G54" s="25">
        <v>0.0</v>
      </c>
      <c r="H54" s="25">
        <v>0.0</v>
      </c>
      <c r="I54" s="25">
        <v>1.0</v>
      </c>
      <c r="J54" s="20">
        <f t="shared" ref="J54:P54" si="205">C54/C$56</f>
        <v>0.1818181818</v>
      </c>
      <c r="K54" s="20">
        <f t="shared" si="205"/>
        <v>0.125</v>
      </c>
      <c r="L54" s="20">
        <f t="shared" si="205"/>
        <v>0.125</v>
      </c>
      <c r="M54" s="20">
        <f t="shared" si="205"/>
        <v>0</v>
      </c>
      <c r="N54" s="20">
        <f t="shared" si="205"/>
        <v>0</v>
      </c>
      <c r="O54" s="20">
        <f t="shared" si="205"/>
        <v>0</v>
      </c>
      <c r="P54" s="20">
        <f t="shared" si="205"/>
        <v>0.3333333333</v>
      </c>
      <c r="Q54" s="20">
        <f t="shared" si="7"/>
        <v>4</v>
      </c>
      <c r="R54" s="20">
        <f t="shared" si="8"/>
        <v>1.470003629</v>
      </c>
      <c r="S54" s="20">
        <f t="shared" ref="S54:Y54" si="206">J54*$R54</f>
        <v>0.2672733871</v>
      </c>
      <c r="T54" s="20">
        <f t="shared" si="206"/>
        <v>0.1837504537</v>
      </c>
      <c r="U54" s="20">
        <f t="shared" si="206"/>
        <v>0.1837504537</v>
      </c>
      <c r="V54" s="20">
        <f t="shared" si="206"/>
        <v>0</v>
      </c>
      <c r="W54" s="20">
        <f t="shared" si="206"/>
        <v>0</v>
      </c>
      <c r="X54" s="20">
        <f t="shared" si="206"/>
        <v>0</v>
      </c>
      <c r="Y54" s="20">
        <f t="shared" si="206"/>
        <v>0.4900012097</v>
      </c>
      <c r="Z54" s="20">
        <f t="shared" ref="Z54:AF54" si="207">S54/S$56</f>
        <v>0.3813672383</v>
      </c>
      <c r="AA54" s="20">
        <f t="shared" si="207"/>
        <v>0.2668047241</v>
      </c>
      <c r="AB54" s="20">
        <f t="shared" si="207"/>
        <v>0.2125363593</v>
      </c>
      <c r="AC54" s="20">
        <f t="shared" si="207"/>
        <v>0</v>
      </c>
      <c r="AD54" s="20">
        <f t="shared" si="207"/>
        <v>0</v>
      </c>
      <c r="AE54" s="20">
        <f t="shared" si="207"/>
        <v>0</v>
      </c>
      <c r="AF54" s="20">
        <f t="shared" si="207"/>
        <v>0.5773502692</v>
      </c>
      <c r="AG54" s="20">
        <f t="shared" ref="AG54:AL54" si="208">Z54*$AF54</f>
        <v>0.2201824777</v>
      </c>
      <c r="AH54" s="20">
        <f t="shared" si="208"/>
        <v>0.1540397793</v>
      </c>
      <c r="AI54" s="21">
        <f t="shared" si="208"/>
        <v>0.1227079243</v>
      </c>
      <c r="AJ54" s="21">
        <f t="shared" si="208"/>
        <v>0</v>
      </c>
      <c r="AK54" s="21">
        <f t="shared" si="208"/>
        <v>0</v>
      </c>
      <c r="AL54" s="21">
        <f t="shared" si="208"/>
        <v>0</v>
      </c>
    </row>
    <row r="55" ht="14.25" customHeight="1">
      <c r="C55" s="34" t="s">
        <v>74</v>
      </c>
      <c r="D55" s="35"/>
      <c r="E55" s="35"/>
      <c r="F55" s="35"/>
      <c r="G55" s="35"/>
      <c r="H55" s="35"/>
      <c r="I55" s="36"/>
      <c r="S55" s="34" t="s">
        <v>75</v>
      </c>
      <c r="T55" s="35"/>
      <c r="U55" s="35"/>
      <c r="V55" s="35"/>
      <c r="W55" s="35"/>
      <c r="X55" s="35"/>
      <c r="Y55" s="36"/>
      <c r="Z55" s="37" t="s">
        <v>75</v>
      </c>
      <c r="AA55" s="35"/>
      <c r="AB55" s="35"/>
      <c r="AC55" s="35"/>
      <c r="AD55" s="35"/>
      <c r="AE55" s="35"/>
      <c r="AF55" s="36"/>
      <c r="AG55" s="38" t="s">
        <v>76</v>
      </c>
      <c r="AH55" s="39"/>
      <c r="AI55" s="39"/>
      <c r="AJ55" s="39"/>
      <c r="AK55" s="39"/>
      <c r="AL55" s="40"/>
    </row>
    <row r="56" ht="14.25" customHeight="1">
      <c r="C56" s="41">
        <f t="shared" ref="C56:I56" si="209">SUM(C4:C54)</f>
        <v>11</v>
      </c>
      <c r="D56" s="41">
        <f t="shared" si="209"/>
        <v>8</v>
      </c>
      <c r="E56" s="41">
        <f t="shared" si="209"/>
        <v>8</v>
      </c>
      <c r="F56" s="41">
        <f t="shared" si="209"/>
        <v>10</v>
      </c>
      <c r="G56" s="41">
        <f t="shared" si="209"/>
        <v>15</v>
      </c>
      <c r="H56" s="41">
        <f t="shared" si="209"/>
        <v>21</v>
      </c>
      <c r="I56" s="41">
        <f t="shared" si="209"/>
        <v>3</v>
      </c>
      <c r="S56" s="41">
        <f t="shared" ref="S56:AF56" si="210">SQRT(SUMSQ(S4:S54))</f>
        <v>0.7008294376</v>
      </c>
      <c r="T56" s="41">
        <f t="shared" si="210"/>
        <v>0.6887076467</v>
      </c>
      <c r="U56" s="41">
        <f t="shared" si="210"/>
        <v>0.8645600886</v>
      </c>
      <c r="V56" s="41">
        <f t="shared" si="210"/>
        <v>0.8358813304</v>
      </c>
      <c r="W56" s="41">
        <f t="shared" si="210"/>
        <v>0.5833633242</v>
      </c>
      <c r="X56" s="41">
        <f t="shared" si="210"/>
        <v>0.5836148757</v>
      </c>
      <c r="Y56" s="41">
        <f t="shared" si="210"/>
        <v>0.8487069911</v>
      </c>
      <c r="Z56" s="42">
        <f t="shared" si="210"/>
        <v>1</v>
      </c>
      <c r="AA56" s="42">
        <f t="shared" si="210"/>
        <v>1</v>
      </c>
      <c r="AB56" s="42">
        <f t="shared" si="210"/>
        <v>1</v>
      </c>
      <c r="AC56" s="42">
        <f t="shared" si="210"/>
        <v>1</v>
      </c>
      <c r="AD56" s="42">
        <f t="shared" si="210"/>
        <v>0.977083273</v>
      </c>
      <c r="AE56" s="42">
        <f t="shared" si="210"/>
        <v>0.9883869062</v>
      </c>
      <c r="AF56" s="42">
        <f t="shared" si="210"/>
        <v>1</v>
      </c>
      <c r="AG56" s="41">
        <f t="shared" ref="AG56:AL56" si="211">SUM(AG4:AG54)</f>
        <v>0.5504561942</v>
      </c>
      <c r="AH56" s="41">
        <f t="shared" si="211"/>
        <v>0.4621193378</v>
      </c>
      <c r="AI56" s="41">
        <f t="shared" si="211"/>
        <v>0.3681237728</v>
      </c>
      <c r="AJ56" s="41">
        <f t="shared" si="211"/>
        <v>0.1015343877</v>
      </c>
      <c r="AK56" s="41">
        <f t="shared" si="211"/>
        <v>0.09699009814</v>
      </c>
      <c r="AL56" s="41">
        <f t="shared" si="211"/>
        <v>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G2:AL2"/>
    <mergeCell ref="AN2:AO2"/>
    <mergeCell ref="C55:I55"/>
    <mergeCell ref="Z55:AF55"/>
    <mergeCell ref="AG55:AL55"/>
    <mergeCell ref="S55:Y55"/>
    <mergeCell ref="B2:B3"/>
    <mergeCell ref="C2:I2"/>
    <mergeCell ref="J2:P2"/>
    <mergeCell ref="Q2:Q3"/>
    <mergeCell ref="R2:R3"/>
    <mergeCell ref="S2:Y2"/>
    <mergeCell ref="Z2:A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2026-04-23T13:52:59Z</dcterms:created>
  <dc:creator>muh_bintang@outlook.com</dc:creator>
</cp:coreProperties>
</file>